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ebdeeptochattopadhyay/Supabase A/DockPilot/docs/"/>
    </mc:Choice>
  </mc:AlternateContent>
  <xr:revisionPtr revIDLastSave="0" documentId="8_{27220258-0D22-1B4C-8847-31B9ACCC124F}" xr6:coauthVersionLast="47" xr6:coauthVersionMax="47" xr10:uidLastSave="{00000000-0000-0000-0000-000000000000}"/>
  <bookViews>
    <workbookView xWindow="1900" yWindow="1180" windowWidth="27480" windowHeight="16680" xr2:uid="{E39FFC9F-9830-CB4F-93D8-5FB398AC3F0D}"/>
  </bookViews>
  <sheets>
    <sheet name="Job Index" sheetId="1" r:id="rId1"/>
  </sheets>
  <externalReferences>
    <externalReference r:id="rId2"/>
  </externalReferences>
  <definedNames>
    <definedName name="_xlnm._FilterDatabase" localSheetId="0" hidden="1">'Job Index'!$A$13:$S$13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40" i="1" l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O215" i="1"/>
  <c r="N215" i="1"/>
  <c r="L215" i="1"/>
  <c r="K215" i="1"/>
  <c r="G215" i="1"/>
  <c r="R214" i="1"/>
  <c r="O214" i="1"/>
  <c r="N214" i="1"/>
  <c r="L214" i="1"/>
  <c r="K214" i="1"/>
  <c r="G214" i="1"/>
  <c r="R213" i="1"/>
  <c r="O213" i="1"/>
  <c r="N213" i="1"/>
  <c r="L213" i="1"/>
  <c r="K213" i="1"/>
  <c r="G213" i="1"/>
  <c r="R212" i="1"/>
  <c r="O212" i="1"/>
  <c r="N212" i="1"/>
  <c r="L212" i="1"/>
  <c r="K212" i="1"/>
  <c r="G212" i="1"/>
  <c r="R211" i="1"/>
  <c r="O211" i="1"/>
  <c r="N211" i="1"/>
  <c r="L211" i="1"/>
  <c r="K211" i="1"/>
  <c r="G211" i="1"/>
  <c r="R210" i="1"/>
  <c r="O210" i="1"/>
  <c r="N210" i="1"/>
  <c r="L210" i="1"/>
  <c r="K210" i="1"/>
  <c r="G210" i="1"/>
  <c r="R209" i="1"/>
  <c r="O209" i="1"/>
  <c r="N209" i="1"/>
  <c r="L209" i="1"/>
  <c r="K209" i="1"/>
  <c r="G209" i="1"/>
  <c r="R208" i="1"/>
  <c r="O208" i="1"/>
  <c r="N208" i="1"/>
  <c r="L208" i="1"/>
  <c r="K208" i="1"/>
  <c r="G208" i="1"/>
  <c r="R207" i="1"/>
  <c r="O207" i="1"/>
  <c r="N207" i="1"/>
  <c r="L207" i="1"/>
  <c r="K207" i="1"/>
  <c r="G207" i="1"/>
  <c r="R206" i="1"/>
  <c r="O206" i="1"/>
  <c r="N206" i="1"/>
  <c r="L206" i="1"/>
  <c r="K206" i="1"/>
  <c r="G206" i="1"/>
  <c r="R205" i="1"/>
  <c r="O205" i="1"/>
  <c r="N205" i="1"/>
  <c r="L205" i="1"/>
  <c r="K205" i="1"/>
  <c r="G205" i="1"/>
  <c r="R204" i="1"/>
  <c r="O204" i="1"/>
  <c r="N204" i="1"/>
  <c r="L204" i="1"/>
  <c r="K204" i="1"/>
  <c r="G204" i="1"/>
  <c r="R203" i="1"/>
  <c r="O203" i="1"/>
  <c r="N203" i="1"/>
  <c r="L203" i="1"/>
  <c r="K203" i="1"/>
  <c r="G203" i="1"/>
  <c r="R202" i="1"/>
  <c r="O202" i="1"/>
  <c r="N202" i="1"/>
  <c r="L202" i="1"/>
  <c r="K202" i="1"/>
  <c r="G202" i="1"/>
  <c r="R201" i="1"/>
  <c r="O201" i="1"/>
  <c r="N201" i="1"/>
  <c r="L201" i="1"/>
  <c r="K201" i="1"/>
  <c r="G201" i="1"/>
  <c r="R200" i="1"/>
  <c r="O200" i="1"/>
  <c r="N200" i="1"/>
  <c r="L200" i="1"/>
  <c r="K200" i="1"/>
  <c r="G200" i="1"/>
  <c r="R199" i="1"/>
  <c r="O199" i="1"/>
  <c r="N199" i="1"/>
  <c r="L199" i="1"/>
  <c r="K199" i="1"/>
  <c r="G199" i="1"/>
  <c r="R198" i="1"/>
  <c r="O198" i="1"/>
  <c r="N198" i="1"/>
  <c r="L198" i="1"/>
  <c r="K198" i="1"/>
  <c r="G198" i="1"/>
  <c r="R197" i="1"/>
  <c r="O197" i="1"/>
  <c r="N197" i="1"/>
  <c r="L197" i="1"/>
  <c r="K197" i="1"/>
  <c r="G197" i="1"/>
  <c r="R196" i="1"/>
  <c r="O196" i="1"/>
  <c r="N196" i="1"/>
  <c r="L196" i="1"/>
  <c r="K196" i="1"/>
  <c r="G196" i="1"/>
  <c r="R195" i="1"/>
  <c r="O195" i="1"/>
  <c r="N195" i="1"/>
  <c r="L195" i="1"/>
  <c r="K195" i="1"/>
  <c r="G195" i="1"/>
  <c r="R194" i="1"/>
  <c r="O194" i="1"/>
  <c r="N194" i="1"/>
  <c r="L194" i="1"/>
  <c r="K194" i="1"/>
  <c r="G194" i="1"/>
  <c r="R193" i="1"/>
  <c r="O193" i="1"/>
  <c r="N193" i="1"/>
  <c r="L193" i="1"/>
  <c r="K193" i="1"/>
  <c r="G193" i="1"/>
  <c r="R192" i="1"/>
  <c r="O192" i="1"/>
  <c r="N192" i="1"/>
  <c r="L192" i="1"/>
  <c r="K192" i="1"/>
  <c r="G192" i="1"/>
  <c r="R191" i="1"/>
  <c r="O191" i="1"/>
  <c r="N191" i="1"/>
  <c r="L191" i="1"/>
  <c r="K191" i="1"/>
  <c r="G191" i="1"/>
  <c r="R190" i="1"/>
  <c r="O190" i="1"/>
  <c r="N190" i="1"/>
  <c r="L190" i="1"/>
  <c r="K190" i="1"/>
  <c r="G190" i="1"/>
  <c r="R189" i="1"/>
  <c r="O189" i="1"/>
  <c r="N189" i="1"/>
  <c r="L189" i="1"/>
  <c r="K189" i="1"/>
  <c r="G189" i="1"/>
  <c r="R188" i="1"/>
  <c r="O188" i="1"/>
  <c r="N188" i="1"/>
  <c r="L188" i="1"/>
  <c r="K188" i="1"/>
  <c r="G188" i="1"/>
  <c r="R187" i="1"/>
  <c r="O187" i="1"/>
  <c r="N187" i="1"/>
  <c r="L187" i="1"/>
  <c r="K187" i="1"/>
  <c r="G187" i="1"/>
  <c r="R186" i="1"/>
  <c r="O186" i="1"/>
  <c r="N186" i="1"/>
  <c r="L186" i="1"/>
  <c r="K186" i="1"/>
  <c r="G186" i="1"/>
  <c r="R185" i="1"/>
  <c r="O185" i="1"/>
  <c r="N185" i="1"/>
  <c r="L185" i="1"/>
  <c r="K185" i="1"/>
  <c r="G185" i="1"/>
  <c r="R184" i="1"/>
  <c r="O184" i="1"/>
  <c r="N184" i="1"/>
  <c r="L184" i="1"/>
  <c r="K184" i="1"/>
  <c r="G184" i="1"/>
  <c r="R183" i="1"/>
  <c r="O183" i="1"/>
  <c r="N183" i="1"/>
  <c r="L183" i="1"/>
  <c r="K183" i="1"/>
  <c r="G183" i="1"/>
  <c r="R182" i="1"/>
  <c r="O182" i="1"/>
  <c r="N182" i="1"/>
  <c r="L182" i="1"/>
  <c r="K182" i="1"/>
  <c r="G182" i="1"/>
  <c r="R181" i="1"/>
  <c r="O181" i="1"/>
  <c r="N181" i="1"/>
  <c r="L181" i="1"/>
  <c r="K181" i="1"/>
  <c r="G181" i="1"/>
  <c r="R180" i="1"/>
  <c r="O180" i="1"/>
  <c r="N180" i="1"/>
  <c r="L180" i="1"/>
  <c r="K180" i="1"/>
  <c r="G180" i="1"/>
  <c r="R179" i="1"/>
  <c r="O179" i="1"/>
  <c r="N179" i="1"/>
  <c r="L179" i="1"/>
  <c r="K179" i="1"/>
  <c r="G179" i="1"/>
  <c r="R178" i="1"/>
  <c r="O178" i="1"/>
  <c r="N178" i="1"/>
  <c r="L178" i="1"/>
  <c r="K178" i="1"/>
  <c r="G178" i="1"/>
  <c r="R177" i="1"/>
  <c r="O177" i="1"/>
  <c r="N177" i="1"/>
  <c r="L177" i="1"/>
  <c r="K177" i="1"/>
  <c r="G177" i="1"/>
  <c r="R176" i="1"/>
  <c r="O176" i="1"/>
  <c r="N176" i="1"/>
  <c r="L176" i="1"/>
  <c r="K176" i="1"/>
  <c r="G176" i="1"/>
  <c r="R175" i="1"/>
  <c r="R174" i="1"/>
  <c r="R173" i="1"/>
  <c r="O173" i="1"/>
  <c r="N173" i="1"/>
  <c r="L173" i="1"/>
  <c r="K173" i="1"/>
  <c r="G173" i="1"/>
  <c r="R172" i="1"/>
  <c r="O172" i="1"/>
  <c r="N172" i="1"/>
  <c r="L172" i="1"/>
  <c r="K172" i="1"/>
  <c r="G172" i="1"/>
  <c r="R171" i="1"/>
  <c r="O171" i="1"/>
  <c r="N171" i="1"/>
  <c r="L171" i="1"/>
  <c r="K171" i="1"/>
  <c r="G171" i="1"/>
  <c r="R170" i="1"/>
  <c r="O170" i="1"/>
  <c r="N170" i="1"/>
  <c r="L170" i="1"/>
  <c r="K170" i="1"/>
  <c r="G170" i="1"/>
  <c r="R169" i="1"/>
  <c r="O169" i="1"/>
  <c r="N169" i="1"/>
  <c r="L169" i="1"/>
  <c r="K169" i="1"/>
  <c r="G169" i="1"/>
  <c r="R168" i="1"/>
  <c r="O168" i="1"/>
  <c r="N168" i="1"/>
  <c r="L168" i="1"/>
  <c r="K168" i="1"/>
  <c r="G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O147" i="1"/>
  <c r="N147" i="1"/>
  <c r="L147" i="1"/>
  <c r="K147" i="1"/>
  <c r="G147" i="1"/>
  <c r="R146" i="1"/>
  <c r="O146" i="1"/>
  <c r="N146" i="1"/>
  <c r="L146" i="1"/>
  <c r="K146" i="1"/>
  <c r="G146" i="1"/>
  <c r="R145" i="1"/>
  <c r="O145" i="1"/>
  <c r="N145" i="1"/>
  <c r="L145" i="1"/>
  <c r="K145" i="1"/>
  <c r="G145" i="1"/>
  <c r="R144" i="1"/>
  <c r="O144" i="1"/>
  <c r="N144" i="1"/>
  <c r="L144" i="1"/>
  <c r="K144" i="1"/>
  <c r="G144" i="1"/>
  <c r="R143" i="1"/>
  <c r="O143" i="1"/>
  <c r="N143" i="1"/>
  <c r="L143" i="1"/>
  <c r="K143" i="1"/>
  <c r="G143" i="1"/>
  <c r="R142" i="1"/>
  <c r="O142" i="1"/>
  <c r="N142" i="1"/>
  <c r="L142" i="1"/>
  <c r="K142" i="1"/>
  <c r="G142" i="1"/>
  <c r="R141" i="1"/>
  <c r="O141" i="1"/>
  <c r="N141" i="1"/>
  <c r="L141" i="1"/>
  <c r="K141" i="1"/>
  <c r="G141" i="1"/>
  <c r="R140" i="1"/>
  <c r="O140" i="1"/>
  <c r="N140" i="1"/>
  <c r="L140" i="1"/>
  <c r="K140" i="1"/>
  <c r="G140" i="1"/>
  <c r="R139" i="1"/>
  <c r="O139" i="1"/>
  <c r="N139" i="1"/>
  <c r="L139" i="1"/>
  <c r="K139" i="1"/>
  <c r="G139" i="1"/>
  <c r="R138" i="1"/>
  <c r="O138" i="1"/>
  <c r="N138" i="1"/>
  <c r="L138" i="1"/>
  <c r="K138" i="1"/>
  <c r="G138" i="1"/>
  <c r="R137" i="1"/>
  <c r="O137" i="1"/>
  <c r="N137" i="1"/>
  <c r="L137" i="1"/>
  <c r="K137" i="1"/>
  <c r="G137" i="1"/>
  <c r="R136" i="1"/>
  <c r="O136" i="1"/>
  <c r="N136" i="1"/>
  <c r="L136" i="1"/>
  <c r="K136" i="1"/>
  <c r="G136" i="1"/>
  <c r="R135" i="1"/>
  <c r="O135" i="1"/>
  <c r="N135" i="1"/>
  <c r="L135" i="1"/>
  <c r="K135" i="1"/>
  <c r="G135" i="1"/>
  <c r="R134" i="1"/>
  <c r="O134" i="1"/>
  <c r="N134" i="1"/>
  <c r="L134" i="1"/>
  <c r="K134" i="1"/>
  <c r="G134" i="1"/>
  <c r="R133" i="1"/>
  <c r="O133" i="1"/>
  <c r="N133" i="1"/>
  <c r="L133" i="1"/>
  <c r="K133" i="1"/>
  <c r="G133" i="1"/>
  <c r="R132" i="1"/>
  <c r="O132" i="1"/>
  <c r="N132" i="1"/>
  <c r="L132" i="1"/>
  <c r="K132" i="1"/>
  <c r="G132" i="1"/>
  <c r="R131" i="1"/>
  <c r="O131" i="1"/>
  <c r="N131" i="1"/>
  <c r="L131" i="1"/>
  <c r="K131" i="1"/>
  <c r="G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O65" i="1"/>
  <c r="N65" i="1"/>
  <c r="L65" i="1"/>
  <c r="K65" i="1"/>
  <c r="G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O52" i="1"/>
  <c r="N52" i="1"/>
  <c r="L52" i="1"/>
  <c r="K52" i="1"/>
  <c r="G52" i="1"/>
  <c r="R51" i="1"/>
  <c r="R50" i="1"/>
  <c r="R49" i="1"/>
  <c r="R48" i="1"/>
  <c r="R47" i="1"/>
  <c r="R46" i="1"/>
  <c r="R45" i="1"/>
  <c r="O45" i="1"/>
  <c r="N45" i="1"/>
  <c r="L45" i="1"/>
  <c r="K45" i="1"/>
  <c r="G45" i="1"/>
  <c r="R44" i="1"/>
  <c r="O44" i="1"/>
  <c r="N44" i="1"/>
  <c r="L44" i="1"/>
  <c r="K44" i="1"/>
  <c r="G44" i="1"/>
  <c r="R43" i="1"/>
  <c r="O43" i="1"/>
  <c r="N43" i="1"/>
  <c r="L43" i="1"/>
  <c r="K43" i="1"/>
  <c r="G43" i="1"/>
  <c r="R42" i="1"/>
  <c r="O42" i="1"/>
  <c r="N42" i="1"/>
  <c r="L42" i="1"/>
  <c r="K42" i="1"/>
  <c r="G42" i="1"/>
  <c r="R41" i="1"/>
  <c r="O41" i="1"/>
  <c r="N41" i="1"/>
  <c r="L41" i="1"/>
  <c r="K41" i="1"/>
  <c r="G41" i="1"/>
  <c r="R40" i="1"/>
  <c r="O40" i="1"/>
  <c r="N40" i="1"/>
  <c r="L40" i="1"/>
  <c r="K40" i="1"/>
  <c r="G40" i="1"/>
  <c r="R39" i="1"/>
  <c r="O39" i="1"/>
  <c r="N39" i="1"/>
  <c r="L39" i="1"/>
  <c r="K39" i="1"/>
  <c r="G39" i="1"/>
  <c r="R38" i="1"/>
  <c r="O38" i="1"/>
  <c r="N38" i="1"/>
  <c r="L38" i="1"/>
  <c r="K38" i="1"/>
  <c r="G38" i="1"/>
  <c r="R37" i="1"/>
  <c r="O37" i="1"/>
  <c r="N37" i="1"/>
  <c r="L37" i="1"/>
  <c r="K37" i="1"/>
  <c r="G37" i="1"/>
  <c r="R36" i="1"/>
  <c r="O36" i="1"/>
  <c r="N36" i="1"/>
  <c r="L36" i="1"/>
  <c r="K36" i="1"/>
  <c r="G36" i="1"/>
  <c r="R35" i="1"/>
  <c r="O35" i="1"/>
  <c r="N35" i="1"/>
  <c r="L35" i="1"/>
  <c r="K35" i="1"/>
  <c r="G35" i="1"/>
  <c r="R34" i="1"/>
  <c r="O34" i="1"/>
  <c r="N34" i="1"/>
  <c r="L34" i="1"/>
  <c r="K34" i="1"/>
  <c r="G34" i="1"/>
  <c r="R33" i="1"/>
  <c r="O33" i="1"/>
  <c r="N33" i="1"/>
  <c r="L33" i="1"/>
  <c r="K33" i="1"/>
  <c r="G33" i="1"/>
  <c r="R32" i="1"/>
  <c r="O32" i="1"/>
  <c r="N32" i="1"/>
  <c r="L32" i="1"/>
  <c r="K32" i="1"/>
  <c r="G32" i="1"/>
  <c r="R31" i="1"/>
  <c r="O31" i="1"/>
  <c r="N31" i="1"/>
  <c r="L31" i="1"/>
  <c r="K31" i="1"/>
  <c r="G31" i="1"/>
  <c r="R30" i="1"/>
  <c r="O30" i="1"/>
  <c r="N30" i="1"/>
  <c r="L30" i="1"/>
  <c r="K30" i="1"/>
  <c r="G30" i="1"/>
  <c r="R29" i="1"/>
  <c r="O29" i="1"/>
  <c r="N29" i="1"/>
  <c r="L29" i="1"/>
  <c r="K29" i="1"/>
  <c r="G29" i="1"/>
  <c r="R28" i="1"/>
  <c r="O28" i="1"/>
  <c r="N28" i="1"/>
  <c r="L28" i="1"/>
  <c r="K28" i="1"/>
  <c r="G28" i="1"/>
  <c r="R27" i="1"/>
  <c r="O27" i="1"/>
  <c r="N27" i="1"/>
  <c r="L27" i="1"/>
  <c r="K27" i="1"/>
  <c r="G27" i="1"/>
  <c r="R26" i="1"/>
  <c r="O26" i="1"/>
  <c r="N26" i="1"/>
  <c r="L26" i="1"/>
  <c r="K26" i="1"/>
  <c r="G26" i="1"/>
  <c r="R25" i="1"/>
  <c r="O25" i="1"/>
  <c r="N25" i="1"/>
  <c r="L25" i="1"/>
  <c r="K25" i="1"/>
  <c r="G25" i="1"/>
  <c r="R24" i="1"/>
  <c r="O24" i="1"/>
  <c r="N24" i="1"/>
  <c r="L24" i="1"/>
  <c r="K24" i="1"/>
  <c r="G24" i="1"/>
  <c r="R23" i="1"/>
  <c r="O23" i="1"/>
  <c r="N23" i="1"/>
  <c r="L23" i="1"/>
  <c r="K23" i="1"/>
  <c r="G23" i="1"/>
  <c r="R22" i="1"/>
  <c r="O22" i="1"/>
  <c r="N22" i="1"/>
  <c r="L22" i="1"/>
  <c r="K22" i="1"/>
  <c r="G22" i="1"/>
  <c r="R21" i="1"/>
  <c r="O21" i="1"/>
  <c r="N21" i="1"/>
  <c r="L21" i="1"/>
  <c r="K21" i="1"/>
  <c r="G21" i="1"/>
  <c r="R20" i="1"/>
  <c r="O20" i="1"/>
  <c r="N20" i="1"/>
  <c r="L20" i="1"/>
  <c r="K20" i="1"/>
  <c r="G20" i="1"/>
  <c r="R19" i="1"/>
  <c r="O19" i="1"/>
  <c r="N19" i="1"/>
  <c r="L19" i="1"/>
  <c r="K19" i="1"/>
  <c r="G19" i="1"/>
  <c r="R18" i="1"/>
  <c r="O18" i="1"/>
  <c r="N18" i="1"/>
  <c r="L18" i="1"/>
  <c r="K18" i="1"/>
  <c r="G18" i="1"/>
  <c r="R17" i="1"/>
  <c r="O17" i="1"/>
  <c r="N17" i="1"/>
  <c r="L17" i="1"/>
  <c r="K17" i="1"/>
  <c r="G17" i="1"/>
  <c r="R16" i="1"/>
  <c r="O16" i="1"/>
  <c r="N16" i="1"/>
  <c r="L16" i="1"/>
  <c r="K16" i="1"/>
  <c r="G16" i="1"/>
  <c r="R15" i="1"/>
  <c r="O15" i="1"/>
  <c r="N15" i="1"/>
  <c r="L15" i="1"/>
  <c r="K15" i="1"/>
  <c r="G15" i="1"/>
  <c r="R14" i="1"/>
  <c r="G14" i="1"/>
  <c r="I9" i="1"/>
  <c r="E9" i="1"/>
  <c r="S3" i="1"/>
  <c r="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Debdeepto Chattopadhyay</author>
  </authors>
  <commentList>
    <comment ref="E9" authorId="0" shapeId="0" xr:uid="{040CB62E-B62C-C041-B2BD-E47EDA9260F2}">
      <text>
        <r>
          <rPr>
            <b/>
            <sz val="9"/>
            <color indexed="81"/>
            <rFont val="Tahoma"/>
            <family val="2"/>
          </rPr>
          <t>DC:</t>
        </r>
        <r>
          <rPr>
            <sz val="9"/>
            <color indexed="81"/>
            <rFont val="Tahoma"/>
            <family val="2"/>
          </rPr>
          <t xml:space="preserve">
Update in Sheet 100</t>
        </r>
      </text>
    </comment>
  </commentList>
</comments>
</file>

<file path=xl/sharedStrings.xml><?xml version="1.0" encoding="utf-8"?>
<sst xmlns="http://schemas.openxmlformats.org/spreadsheetml/2006/main" count="1490" uniqueCount="338">
  <si>
    <t>DECK</t>
  </si>
  <si>
    <t>Before Docking / Sailing or Anchor</t>
  </si>
  <si>
    <t>SHIP-YARD</t>
  </si>
  <si>
    <t>PENDING APPROVAL</t>
  </si>
  <si>
    <t>PENDING</t>
  </si>
  <si>
    <t xml:space="preserve">K1910 </t>
  </si>
  <si>
    <t>Docking Expenses and General Services</t>
  </si>
  <si>
    <t>YES</t>
  </si>
  <si>
    <t>Estimated Total Spares/Stores Cost</t>
  </si>
  <si>
    <t>ENGINE</t>
  </si>
  <si>
    <t>Before Docking / Anchor</t>
  </si>
  <si>
    <t>SHIP-STAFF</t>
  </si>
  <si>
    <t>P.O. ISSUED</t>
  </si>
  <si>
    <t>PARTIAL</t>
  </si>
  <si>
    <t>K1911</t>
  </si>
  <si>
    <t>Docking Owners Work</t>
  </si>
  <si>
    <t>NO</t>
  </si>
  <si>
    <t>Estimated Total Services Cost</t>
  </si>
  <si>
    <t>ELECT.</t>
  </si>
  <si>
    <t>During Docking</t>
  </si>
  <si>
    <t>3RD PARTY SERV.</t>
  </si>
  <si>
    <t>P.I. RECEIVED</t>
  </si>
  <si>
    <t>COMPLETED</t>
  </si>
  <si>
    <t>K1912</t>
  </si>
  <si>
    <t>Docking Paint</t>
  </si>
  <si>
    <t>GENERAL</t>
  </si>
  <si>
    <t>After Docking / Anchor</t>
  </si>
  <si>
    <t>YARD / CREW</t>
  </si>
  <si>
    <t>INVOICE BOOKED</t>
  </si>
  <si>
    <t>CANCELLED</t>
  </si>
  <si>
    <t>K1913</t>
  </si>
  <si>
    <t>Docking Anodes</t>
  </si>
  <si>
    <t>DOCKING</t>
  </si>
  <si>
    <t>After Docking / Sailing</t>
  </si>
  <si>
    <t>SERV. / YARD</t>
  </si>
  <si>
    <t>P.I. PAID</t>
  </si>
  <si>
    <t>MANDATORY</t>
  </si>
  <si>
    <t>K1914</t>
  </si>
  <si>
    <t>Docking seals and Packing</t>
  </si>
  <si>
    <t>CREW / SERV.</t>
  </si>
  <si>
    <t>AWAITING READINESS</t>
  </si>
  <si>
    <t>N/A</t>
  </si>
  <si>
    <t>K1915</t>
  </si>
  <si>
    <t>Docking Agency Disbursements</t>
  </si>
  <si>
    <t>YARD / CREW / SERV.</t>
  </si>
  <si>
    <t>SHIPPED</t>
  </si>
  <si>
    <t>K1916</t>
  </si>
  <si>
    <t>Docking Service Engineer's Cost</t>
  </si>
  <si>
    <t>Please enter Vessel Name in the PREAMBLE</t>
  </si>
  <si>
    <t>RECEIVED</t>
  </si>
  <si>
    <t>K1917</t>
  </si>
  <si>
    <t>Docking Slop Disposal</t>
  </si>
  <si>
    <t>VESSEL</t>
  </si>
  <si>
    <t xml:space="preserve">DOCKING YEAR </t>
  </si>
  <si>
    <t>DOCKING YARD</t>
  </si>
  <si>
    <t>SERVICE CONFIRMED</t>
  </si>
  <si>
    <t>K1918</t>
  </si>
  <si>
    <t>Docking Class/Survey Fee</t>
  </si>
  <si>
    <t>SERVICE COMPLETED</t>
  </si>
  <si>
    <t>K1919</t>
  </si>
  <si>
    <t>Docking Spares/Stores</t>
  </si>
  <si>
    <t>INDEX FOR DRY DOCK JOBS</t>
  </si>
  <si>
    <t>CREDIT TERMS</t>
  </si>
  <si>
    <t>K1920</t>
  </si>
  <si>
    <t>Docking Deviation</t>
  </si>
  <si>
    <t>Update on spec sheet</t>
  </si>
  <si>
    <t>Update on this sheet</t>
  </si>
  <si>
    <t>Sl.</t>
  </si>
  <si>
    <t>Mandatory Job</t>
  </si>
  <si>
    <t>REQD.</t>
  </si>
  <si>
    <t>DEPT.</t>
  </si>
  <si>
    <t>OFFICE</t>
  </si>
  <si>
    <t>SPEC No.</t>
  </si>
  <si>
    <t>JOB STATUS</t>
  </si>
  <si>
    <t>DESCRIPTION</t>
  </si>
  <si>
    <t>TIMING</t>
  </si>
  <si>
    <t>RESPONSIBILITY</t>
  </si>
  <si>
    <t>SPARES P.O. NUMBER</t>
  </si>
  <si>
    <t>SPARES P.O. STATUS</t>
  </si>
  <si>
    <t>EST. SPARES COST</t>
  </si>
  <si>
    <t>SERVICE P.O. NUMBER</t>
  </si>
  <si>
    <t>SERVICE P.O. STATUS</t>
  </si>
  <si>
    <t>EST. SERVICE COST</t>
  </si>
  <si>
    <t>ACCOUNT CODE</t>
  </si>
  <si>
    <t>ACCOUNT DESCRIPTION</t>
  </si>
  <si>
    <t>REMARKS</t>
  </si>
  <si>
    <t>PREAMBLE</t>
  </si>
  <si>
    <t>Standard Rates and Tariffs</t>
  </si>
  <si>
    <t>Steel Outfitting on Deck - Standard Structures for Owner's requirement</t>
  </si>
  <si>
    <t>Docking General</t>
  </si>
  <si>
    <t>Deslopping and Demucking</t>
  </si>
  <si>
    <t>Cleaning Before Departure</t>
  </si>
  <si>
    <t>Hull Cleaning, Blasting &amp; Painting</t>
  </si>
  <si>
    <t>Hull Marking</t>
  </si>
  <si>
    <t>Ship's Name Bead Welding at 3 locations on the outer hull **</t>
  </si>
  <si>
    <t>Anchor with Chain Ranging, Washing, Gauging and Maintenance</t>
  </si>
  <si>
    <t>Chain Locker Maintenance</t>
  </si>
  <si>
    <t>Propeller MRO &amp; Survey</t>
  </si>
  <si>
    <t>Rope Guard - MRO</t>
  </si>
  <si>
    <t>Bow Thruster Blade and Tunnel **</t>
  </si>
  <si>
    <t>Bow Thruster - MRO **</t>
  </si>
  <si>
    <t>Docking Plugs</t>
  </si>
  <si>
    <t>Sea Chest and Sea Chest Grating Maintenance</t>
  </si>
  <si>
    <t>Rudder Inspection</t>
  </si>
  <si>
    <t>Main Deck - Blasting and Painting **</t>
  </si>
  <si>
    <t>575 (1)</t>
  </si>
  <si>
    <t>Ship-side Valves MRO - Forecastle</t>
  </si>
  <si>
    <t>575 (2)</t>
  </si>
  <si>
    <t>Ship-side Valves MRO - Pump Room **</t>
  </si>
  <si>
    <t>Pressure Test of Cargo Pipelines on Deck</t>
  </si>
  <si>
    <t>Pressure Test of Cargo and Bunker Manifold Valves</t>
  </si>
  <si>
    <t>615 (1)</t>
  </si>
  <si>
    <t>Pressure Test of Cargo Tank Heating Coils</t>
  </si>
  <si>
    <t>615 (2)</t>
  </si>
  <si>
    <t>Pressure Test of Deck Heaters</t>
  </si>
  <si>
    <t>615 (3)</t>
  </si>
  <si>
    <t>Leak Test of Steam Pipelines (with branches) on Deck</t>
  </si>
  <si>
    <t>615 (4)</t>
  </si>
  <si>
    <t>Pressure Test of Fire and Foam Lines</t>
  </si>
  <si>
    <t>615 (5)</t>
  </si>
  <si>
    <t>Pressure Test of Bunker Pipelines on Deck</t>
  </si>
  <si>
    <t>630 (1)</t>
  </si>
  <si>
    <t>Cargo Tank Domes and Closing Gear MRO **</t>
  </si>
  <si>
    <t>630 (2)</t>
  </si>
  <si>
    <t>Cargo Tank Hatch Cover Packing Inspection and / or Renewal</t>
  </si>
  <si>
    <t>630 (3)</t>
  </si>
  <si>
    <t>630 (4)</t>
  </si>
  <si>
    <t>Cargo Tank Butterworth Hatch Covers' Packing Inspection and / or Renewal</t>
  </si>
  <si>
    <t>640 (1)</t>
  </si>
  <si>
    <t>Windlass Gypsy / Cable Lifter &amp; Winch Structural Maintenance / Repair **</t>
  </si>
  <si>
    <t>640 (2)</t>
  </si>
  <si>
    <t>Windlass or Winch Bearing Rebushing **</t>
  </si>
  <si>
    <t>640 (3)</t>
  </si>
  <si>
    <t xml:space="preserve">Windlass and Winch Brake Drum &amp; Band Maintenance / Repair </t>
  </si>
  <si>
    <t>640 (4)</t>
  </si>
  <si>
    <t>Windlass and Winch Brake Lining Renewal **</t>
  </si>
  <si>
    <t>645 (1)</t>
  </si>
  <si>
    <t>Windlass and Winch Hydraulic Motor MRO **</t>
  </si>
  <si>
    <t>645 (2)</t>
  </si>
  <si>
    <t>Windlass and Winch Hydraulic Control Block MRO</t>
  </si>
  <si>
    <t>P-V Valves MRO</t>
  </si>
  <si>
    <t>Hose Crane Structural Maintenance</t>
  </si>
  <si>
    <t>Hose Crane Hydraulic Hose Renewal</t>
  </si>
  <si>
    <t>Hose Crane Hydraulic Control Equipment MRO</t>
  </si>
  <si>
    <t>Hose Crane Wire Renewal</t>
  </si>
  <si>
    <t>Load Test of Hose Crane / Wire (after renewal) **</t>
  </si>
  <si>
    <t>Scaffolding for Hose Crane Structural MRO **</t>
  </si>
  <si>
    <t>Hose Crane Luffing Hydraulic Cylinder MRO **</t>
  </si>
  <si>
    <t>Provision Crane Structural Maintenance **</t>
  </si>
  <si>
    <t>Provision Crane Wire Renewal **</t>
  </si>
  <si>
    <t>Load Test of Provision Crane / Wire (after renewal) **</t>
  </si>
  <si>
    <t>Provision Crane Electric / Hydraulic Control Equipment MRO **</t>
  </si>
  <si>
    <t>Scaffolding for Provision Crane Structural MRO **</t>
  </si>
  <si>
    <t>Lifeboat and Rescue Boat removal from vessel and refit</t>
  </si>
  <si>
    <t>Lifeboat &amp; Rescue Boat Davit Structural Maintenance</t>
  </si>
  <si>
    <t xml:space="preserve">Scaffolding for Lifeboat &amp; Rescue Boat Davit Structural MRO </t>
  </si>
  <si>
    <t>Lifeboat &amp; Rescue Boat Release / Hoisting Gear MRO **</t>
  </si>
  <si>
    <t>Lifeboat &amp; Rescue Boat Electric Motor MRO **</t>
  </si>
  <si>
    <t>Renewal of Lifeboat and Rescue Boat Falls **</t>
  </si>
  <si>
    <t>Load Test of Lifeboat Davits / Boat Falls (after renewal) **</t>
  </si>
  <si>
    <t>Load Test and Function Testing of Life Boat(s) and Rescue Boats **</t>
  </si>
  <si>
    <t>Lifeboat and Rescue Boat MRO</t>
  </si>
  <si>
    <t>Freefall Lifeboat Davit Hydraulic Cylinders MRO **</t>
  </si>
  <si>
    <t>Freefall Lifeboat Davit Hydraulic Pump and HP Piping MRO **</t>
  </si>
  <si>
    <t>Freefall Lifeboat Hydraulic Winch and Control Block MRO **</t>
  </si>
  <si>
    <t>Life Raft Annual Maintenance / Exchange</t>
  </si>
  <si>
    <t>Life Raft Cradle Maintenance **</t>
  </si>
  <si>
    <t>Life Raft Davit Maintenance, Renewal of Wire, Load Test **</t>
  </si>
  <si>
    <t>Accomodation Ladder(s) Removal and Maintenance **</t>
  </si>
  <si>
    <t>Renewal of Accomodation Ladder(s) Wire</t>
  </si>
  <si>
    <t>Accommodation Ladder Air / Electric Winch Motor MRO</t>
  </si>
  <si>
    <t>Accommodation Ladder Support and Winch Outfitting MRO</t>
  </si>
  <si>
    <t>Load Test of Accommodation Ladders' Wire (after renewal) **</t>
  </si>
  <si>
    <t>Renewal of E/Room Hoisting Crane Wire</t>
  </si>
  <si>
    <t>Load Test of E/Room Hoisting Crane / Wire (after renewal)</t>
  </si>
  <si>
    <t>Mast Riser MRO (if fitted)</t>
  </si>
  <si>
    <t>Mast Riser Valve MRO (if fitted)</t>
  </si>
  <si>
    <t>P-V Breaker MRO</t>
  </si>
  <si>
    <t>Maintenance / Repairs to Inert Gas Pipeline Valves **</t>
  </si>
  <si>
    <t>IG System Monitoring Equipment on Deck - Inspection, Calibration and MRO</t>
  </si>
  <si>
    <t>Deck Water Seal Inspection and MRO</t>
  </si>
  <si>
    <t>Deck Water Seal SW Supply and O'board Pipeline Inspection, MRO</t>
  </si>
  <si>
    <t>Deck Water Seal SW O'board Discharge Valve MRO</t>
  </si>
  <si>
    <t>Calibration of VRL Pressure Sensors (if applicable)</t>
  </si>
  <si>
    <t>Repairs to Cargo Pipe Sections / Deck Penetration pieces **</t>
  </si>
  <si>
    <t>Removal and Maintenance of Cargo Valves **</t>
  </si>
  <si>
    <t>Maintenance / Repairs of Cargo Tank Heating Coils **</t>
  </si>
  <si>
    <t>Maintenance / Repairs of Deck Heaters **</t>
  </si>
  <si>
    <t>Removal and Maintenance of Ballast Valves **</t>
  </si>
  <si>
    <t>Maintenance / Repairs to Gear Actuators for Cargo and IG Valves **</t>
  </si>
  <si>
    <t>Repairs to Steam Pipelines (with branches) on Deck</t>
  </si>
  <si>
    <t>Repairs to Fire Line Sections / Bulkhead Penetration pieces **</t>
  </si>
  <si>
    <t>Repairs to Foam line (with branches) on Deck</t>
  </si>
  <si>
    <t>Repairs to Foam Line Sections / Bulkhead Penetration pieces **</t>
  </si>
  <si>
    <t>Maintenance of Fire Line Isolation Valves &amp; Fire Hydrants</t>
  </si>
  <si>
    <t>Maintenance of Foam Line Isolation Valves &amp; Foam Hydrants</t>
  </si>
  <si>
    <t>Maintenance of Bunker Pipeline, Valves &amp; Outfitting</t>
  </si>
  <si>
    <t>Forward Mast Scaffolding</t>
  </si>
  <si>
    <t>Forward Mast Structural Maintenance **</t>
  </si>
  <si>
    <t>Masts on Deck Structural Maintenance **</t>
  </si>
  <si>
    <t>Main Mast Scaffolding</t>
  </si>
  <si>
    <t>Main Mast Structural Maintenance **</t>
  </si>
  <si>
    <t>Ship Side Deformed / Wasted Railing Repairs</t>
  </si>
  <si>
    <t>Cargo Tanks' Coating Repairs **</t>
  </si>
  <si>
    <t>Cargo Tanks' Ladders Inspection and Repair (if required)</t>
  </si>
  <si>
    <t>Cargo Tanks' Bellmouth Inspection and Repair (if required)</t>
  </si>
  <si>
    <t>Cargo Tanks' Internal Outfitting Inspection and Repair (if required)</t>
  </si>
  <si>
    <t>Water Ballast Tanks' Internal Outfitting Inspection and Repair (if required)</t>
  </si>
  <si>
    <t>Water Ballast Tanks' Air Pipe Inspection and Repair</t>
  </si>
  <si>
    <t>Water Ballast Tanks' Vent Head MRO</t>
  </si>
  <si>
    <t>Fuel and L.O. Tanks' Air Pipe on Deck Inspection and Repair</t>
  </si>
  <si>
    <t>Fuel and L.O. Tanks' Vent Head MRO</t>
  </si>
  <si>
    <t>Tank Cleaning Water or FW Tanks' Internal Outfitting Inspection and Repair (if required) **</t>
  </si>
  <si>
    <t>FW and Other Misc. Tanks' Air Pipe on Deck Inspection and Repair</t>
  </si>
  <si>
    <t>FW and Other Misc. Tanks' Vent Head MRO</t>
  </si>
  <si>
    <t>Funnel Dampers MRO **</t>
  </si>
  <si>
    <t>Funnel External Structural Maintenance **</t>
  </si>
  <si>
    <t>Funnel External Scaffolding **</t>
  </si>
  <si>
    <t>Funnel Uptake Flame Arrestors - Removal, Refit, MRO</t>
  </si>
  <si>
    <t>Main Engine Unit Overhaul **</t>
  </si>
  <si>
    <t>710 (1)</t>
  </si>
  <si>
    <t>Main Engine Main Bearing inspection &amp; survey</t>
  </si>
  <si>
    <t>710 (2)</t>
  </si>
  <si>
    <t>Main Engine Crank Pin Bearing inspection &amp; survey</t>
  </si>
  <si>
    <t>710 (3)</t>
  </si>
  <si>
    <t>Main Engine Cross Head Bearing inspection &amp; survey</t>
  </si>
  <si>
    <t>710 (4)</t>
  </si>
  <si>
    <t>Main Engine Thrust Bearing and Pad inspection &amp; survey</t>
  </si>
  <si>
    <t>Main Engine Unit Fuel Pumps periodic overhaul</t>
  </si>
  <si>
    <t>M/E Air Cooler removal &amp; maintenance</t>
  </si>
  <si>
    <t>Main Engine Turbocharger periodic overhaul</t>
  </si>
  <si>
    <t>Aux. Engine Overhaul **</t>
  </si>
  <si>
    <t>Aux. Engine Air Cooler cleaning **</t>
  </si>
  <si>
    <t>Aux. Engine L.O. Cooler cleaning **</t>
  </si>
  <si>
    <t>Aux. Engine Turbocharger overhaul **</t>
  </si>
  <si>
    <t>Ship-side Valves MRO - Engine Room</t>
  </si>
  <si>
    <t>780 (1)</t>
  </si>
  <si>
    <t>Tailshaft Removal, Survey &amp; Refit **</t>
  </si>
  <si>
    <t>780 (2)</t>
  </si>
  <si>
    <t>Intermediate Bearing Inspection and Survey</t>
  </si>
  <si>
    <t>HEATEX1</t>
  </si>
  <si>
    <t>M/E F.O. Heater cleaning &amp; Relief Valve MRO</t>
  </si>
  <si>
    <t>PIPE</t>
  </si>
  <si>
    <t>Repairs to Fire line (with branches) on Deck</t>
  </si>
  <si>
    <t>UT Gauging of Ship-side Stub-pieces in Forecastle Store and Pump Room</t>
  </si>
  <si>
    <t>Main Engine Sump Tank cleaning &amp; inspection</t>
  </si>
  <si>
    <t>M/E Aux. Blower overhaul &amp; balancing</t>
  </si>
  <si>
    <t>M/E L.O. Cooler maintenance &amp; cleaning</t>
  </si>
  <si>
    <t>M/E L.O. Fine-filter maintenance &amp; cleaning</t>
  </si>
  <si>
    <t>M/E L.O. Pumps MRO</t>
  </si>
  <si>
    <t>M/E Exh. Valve L.O. Pumps MRO **</t>
  </si>
  <si>
    <t>M/E Jacket Cooling Water Cooler maintenance &amp; cleaning</t>
  </si>
  <si>
    <t>M/E J.C.F.W. Pumps MRO **</t>
  </si>
  <si>
    <t>M/E F.O. Supply Pumps MRO **</t>
  </si>
  <si>
    <t>M/E F.O. Circulating Pumps MRO **</t>
  </si>
  <si>
    <t>M/E F.O. Fine-filter (Hot) maintenance &amp; cleaning **</t>
  </si>
  <si>
    <t>M/E F.O. Return Line Back Pressure Reg. Valve MRO</t>
  </si>
  <si>
    <t>A/E F.O. Supply Pumps MRO **</t>
  </si>
  <si>
    <t>A/E F.O. Circulating Pumps MRO **</t>
  </si>
  <si>
    <t>A/E F.O. Fine-filter (Hot) maintenance &amp; cleaning **</t>
  </si>
  <si>
    <t>A/E F.O. Return Line Back Pressure Reg. Valve MRO</t>
  </si>
  <si>
    <t>A/E F.O. Heater cleaning &amp; Relief Valve MRO</t>
  </si>
  <si>
    <t>F.O. Purifier Heater &amp; Relief Valve maintenance</t>
  </si>
  <si>
    <t>Boiler F.O. Heater &amp; Relief Valve maintenance</t>
  </si>
  <si>
    <t>Thermal Imaging of all Electrical Panels and SB (in service)</t>
  </si>
  <si>
    <t>Main Switch Board (MSB) maintenance</t>
  </si>
  <si>
    <t>Emergency Switch Board (ESB) maintenance</t>
  </si>
  <si>
    <t>Calibration of MSB and ESB Meters</t>
  </si>
  <si>
    <t>Reverse Power &amp; Overcurrent Relays inspection and testing</t>
  </si>
  <si>
    <t>Air Circuit Breakers and Major MCCB maintenance</t>
  </si>
  <si>
    <t>Major Individual Starter Panel maintenance **</t>
  </si>
  <si>
    <t>Various Group Starter Panels maintenance (separate list) **</t>
  </si>
  <si>
    <t>MOTOR 1</t>
  </si>
  <si>
    <t>Emergency Fire Pump Motor overhaul</t>
  </si>
  <si>
    <t>MOTOR 2</t>
  </si>
  <si>
    <t>M/E Aux. Blower Motor (Multiple) overhaul &amp; balancing w/Blower **</t>
  </si>
  <si>
    <t>MOTOR 3</t>
  </si>
  <si>
    <t>E/R Main Blower Motor (Multiple) overhaul &amp; balancing w/Blower **</t>
  </si>
  <si>
    <t>MOTOR 4</t>
  </si>
  <si>
    <t>Purifier Rm. Blower(s) Motor overhaul &amp; balancing w/Blower **</t>
  </si>
  <si>
    <t>MOTOR 5</t>
  </si>
  <si>
    <t>Pump Rm. Blower Motor (Multiple) overhaul &amp; balancing w/Blower **</t>
  </si>
  <si>
    <t>MOTOR 6</t>
  </si>
  <si>
    <t>Forepeak Store Blower Motor overhaul **</t>
  </si>
  <si>
    <t>MOTOR 7</t>
  </si>
  <si>
    <t>Steering Gear Rm. Blower Motor overhaul **</t>
  </si>
  <si>
    <t>MOTOR 8</t>
  </si>
  <si>
    <t>Various Small Accom. Blowers Motor overhaul (separate list) **</t>
  </si>
  <si>
    <t>MOTOR 9</t>
  </si>
  <si>
    <t>Aux. Boiler FD Fan Motor overhaul &amp; balancing w/Blower **</t>
  </si>
  <si>
    <t>MOTOR 10</t>
  </si>
  <si>
    <t>Comp. Boiler FD Fan Motor overhaul &amp; balancing w/Blower **</t>
  </si>
  <si>
    <t>MOTOR 11</t>
  </si>
  <si>
    <t>M/E L.O. Pump Motor (Multiple) overhaul **</t>
  </si>
  <si>
    <t>MOTOR 12</t>
  </si>
  <si>
    <t>M/E Exhaust Valve L.O. Pump Motor (Multiple) overhaul **</t>
  </si>
  <si>
    <t>MOTOR 13</t>
  </si>
  <si>
    <t>M/E J.C.F.W. Pump Motor (Multiple) overhaul **</t>
  </si>
  <si>
    <t>MOTOR 14</t>
  </si>
  <si>
    <t>M/E F.O. Supply Pump Motor (Multiple) overhaul **</t>
  </si>
  <si>
    <t>MOTOR 15</t>
  </si>
  <si>
    <t>M/E F.O. Circulating Pump Motor (Multiple) overhaul **</t>
  </si>
  <si>
    <t>MOTOR 16</t>
  </si>
  <si>
    <t>I.G. Blower Motor (Multiple) overhaul &amp; balancing w/Blower **</t>
  </si>
  <si>
    <t>MOTOR 17</t>
  </si>
  <si>
    <t>I.G. Scrubber Water Pump Motor overhaul **</t>
  </si>
  <si>
    <t>MOTOR 18</t>
  </si>
  <si>
    <t>Fire Pump Motor (Multiple) overhaul **</t>
  </si>
  <si>
    <t>MOTOR 19</t>
  </si>
  <si>
    <t>Main S.W. Pump Motor (Multiple) overhaul **</t>
  </si>
  <si>
    <t>MOTOR 20</t>
  </si>
  <si>
    <t>L.T. F.W. Circulating Pump Motor (Multiple) overhaul **</t>
  </si>
  <si>
    <t>MOTOR 21</t>
  </si>
  <si>
    <t>Main Air Compressor Motor (Multiple) overhaul **</t>
  </si>
  <si>
    <t>MOTOR 22</t>
  </si>
  <si>
    <t>HVAC Blower Motor (Multiple) overhaul &amp; balancing w/Blower **</t>
  </si>
  <si>
    <t>MOTOR 23</t>
  </si>
  <si>
    <t>Boiler F.O. Supply Pump Motor (Multiple) overhaul **</t>
  </si>
  <si>
    <t>MOTOR 24</t>
  </si>
  <si>
    <t>Boiler Water Circulating Pump Motor (Multiple) overhaul **</t>
  </si>
  <si>
    <t>MOTOR 25</t>
  </si>
  <si>
    <t>Purifier Motor (Multiple) overhaul **</t>
  </si>
  <si>
    <t>MOTOR 26</t>
  </si>
  <si>
    <t>Motor - Spare Spec</t>
  </si>
  <si>
    <t>MOTOR 27</t>
  </si>
  <si>
    <t>MOTOR 28</t>
  </si>
  <si>
    <t>MOTOR 29</t>
  </si>
  <si>
    <t>MOTOR 30</t>
  </si>
  <si>
    <t>MOTOR 31</t>
  </si>
  <si>
    <t>MOTOR 32</t>
  </si>
  <si>
    <t>MOTOR 33</t>
  </si>
  <si>
    <t>MOTOR 34</t>
  </si>
  <si>
    <t>MOTOR 35</t>
  </si>
  <si>
    <t>MOTOR 36</t>
  </si>
  <si>
    <t>MOTOR 37</t>
  </si>
  <si>
    <t>MOTOR 38</t>
  </si>
  <si>
    <t>MOTOR 39</t>
  </si>
  <si>
    <t>MOTOR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</si>
</sst>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yyyy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  <font>
      <sz val="9"/>
      <color rgb="FFFF0000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6"/>
      <color theme="1"/>
      <name val="Aptos"/>
      <family val="2"/>
    </font>
    <font>
      <sz val="10"/>
      <color rgb="FFFF0000"/>
      <name val="Aptos"/>
      <family val="2"/>
    </font>
    <font>
      <b/>
      <sz val="12"/>
      <name val="Aptos"/>
      <family val="2"/>
    </font>
    <font>
      <b/>
      <sz val="9"/>
      <color theme="0"/>
      <name val="Aptos"/>
      <family val="2"/>
    </font>
    <font>
      <b/>
      <sz val="11"/>
      <name val="Aptos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" fillId="0" borderId="0"/>
  </cellStyleXfs>
  <cellXfs count="73">
    <xf numFmtId="0" fontId="0" fillId="0" borderId="0" xfId="0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shrinkToFit="1"/>
    </xf>
    <xf numFmtId="164" fontId="2" fillId="0" borderId="0" xfId="2" applyNumberFormat="1" applyFont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2" fillId="0" borderId="0" xfId="2" applyFont="1" applyAlignment="1">
      <alignment horizontal="right" vertical="center"/>
    </xf>
    <xf numFmtId="0" fontId="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right" vertical="center"/>
    </xf>
    <xf numFmtId="165" fontId="7" fillId="3" borderId="5" xfId="2" applyNumberFormat="1" applyFont="1" applyFill="1" applyBorder="1" applyAlignment="1">
      <alignment horizontal="center" vertical="center"/>
    </xf>
    <xf numFmtId="0" fontId="2" fillId="4" borderId="2" xfId="2" applyFont="1" applyFill="1" applyBorder="1" applyAlignment="1" applyProtection="1">
      <alignment horizontal="left" vertical="center"/>
      <protection locked="0"/>
    </xf>
    <xf numFmtId="0" fontId="2" fillId="4" borderId="3" xfId="2" applyFont="1" applyFill="1" applyBorder="1" applyAlignment="1" applyProtection="1">
      <alignment horizontal="left" vertical="center"/>
      <protection locked="0"/>
    </xf>
    <xf numFmtId="0" fontId="2" fillId="4" borderId="4" xfId="2" applyFont="1" applyFill="1" applyBorder="1" applyAlignment="1" applyProtection="1">
      <alignment horizontal="left" vertical="center"/>
      <protection locked="0"/>
    </xf>
    <xf numFmtId="0" fontId="6" fillId="0" borderId="0" xfId="2" applyFont="1" applyAlignment="1">
      <alignment horizontal="left" vertical="center" shrinkToFit="1"/>
    </xf>
    <xf numFmtId="0" fontId="8" fillId="5" borderId="6" xfId="2" applyFont="1" applyFill="1" applyBorder="1" applyAlignment="1">
      <alignment horizontal="center" vertical="center"/>
    </xf>
    <xf numFmtId="0" fontId="8" fillId="5" borderId="7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 shrinkToFit="1"/>
    </xf>
    <xf numFmtId="0" fontId="10" fillId="5" borderId="9" xfId="2" applyFont="1" applyFill="1" applyBorder="1" applyAlignment="1">
      <alignment horizontal="center" vertical="center" wrapText="1"/>
    </xf>
    <xf numFmtId="0" fontId="11" fillId="5" borderId="9" xfId="2" applyFont="1" applyFill="1" applyBorder="1" applyAlignment="1">
      <alignment horizontal="center" vertical="center" wrapText="1"/>
    </xf>
    <xf numFmtId="0" fontId="10" fillId="5" borderId="10" xfId="2" applyFont="1" applyFill="1" applyBorder="1" applyAlignment="1">
      <alignment horizontal="center" vertical="center" wrapText="1"/>
    </xf>
    <xf numFmtId="0" fontId="12" fillId="6" borderId="10" xfId="2" applyFont="1" applyFill="1" applyBorder="1" applyAlignment="1">
      <alignment horizontal="center" vertical="center" wrapText="1"/>
    </xf>
    <xf numFmtId="0" fontId="12" fillId="6" borderId="11" xfId="2" applyFont="1" applyFill="1" applyBorder="1" applyAlignment="1">
      <alignment horizontal="center" vertical="center" wrapText="1" shrinkToFit="1"/>
    </xf>
    <xf numFmtId="0" fontId="10" fillId="5" borderId="12" xfId="2" applyFont="1" applyFill="1" applyBorder="1" applyAlignment="1">
      <alignment horizontal="center" vertical="center" wrapText="1"/>
    </xf>
    <xf numFmtId="164" fontId="10" fillId="5" borderId="13" xfId="2" applyNumberFormat="1" applyFont="1" applyFill="1" applyBorder="1" applyAlignment="1">
      <alignment horizontal="center" vertical="center" wrapText="1"/>
    </xf>
    <xf numFmtId="0" fontId="10" fillId="5" borderId="10" xfId="2" applyFont="1" applyFill="1" applyBorder="1" applyAlignment="1">
      <alignment horizontal="center" vertical="center" shrinkToFit="1"/>
    </xf>
    <xf numFmtId="0" fontId="10" fillId="5" borderId="11" xfId="2" applyFont="1" applyFill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3" fillId="0" borderId="0" xfId="2" applyFont="1" applyAlignment="1">
      <alignment vertical="center" wrapText="1"/>
    </xf>
    <xf numFmtId="0" fontId="3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4" fillId="7" borderId="4" xfId="2" applyFont="1" applyFill="1" applyBorder="1" applyAlignment="1" applyProtection="1">
      <alignment horizontal="center" vertical="center"/>
      <protection locked="0"/>
    </xf>
    <xf numFmtId="0" fontId="7" fillId="0" borderId="5" xfId="2" applyFont="1" applyBorder="1" applyAlignment="1" applyProtection="1">
      <alignment horizontal="center" vertical="center"/>
      <protection locked="0"/>
    </xf>
    <xf numFmtId="0" fontId="2" fillId="0" borderId="5" xfId="2" applyFont="1" applyBorder="1" applyAlignment="1" applyProtection="1">
      <alignment horizontal="center" vertical="center"/>
      <protection locked="0"/>
    </xf>
    <xf numFmtId="0" fontId="13" fillId="0" borderId="5" xfId="1" applyBorder="1" applyAlignment="1" applyProtection="1">
      <alignment horizontal="center" vertical="center"/>
      <protection locked="0"/>
    </xf>
    <xf numFmtId="0" fontId="2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 wrapText="1"/>
    </xf>
    <xf numFmtId="0" fontId="2" fillId="0" borderId="5" xfId="2" applyFont="1" applyBorder="1" applyAlignment="1" applyProtection="1">
      <alignment horizontal="center" vertical="center" wrapText="1"/>
      <protection locked="0"/>
    </xf>
    <xf numFmtId="0" fontId="2" fillId="0" borderId="2" xfId="2" applyFont="1" applyBorder="1" applyAlignment="1" applyProtection="1">
      <alignment horizontal="center" vertical="center" wrapText="1" shrinkToFit="1"/>
      <protection locked="0"/>
    </xf>
    <xf numFmtId="0" fontId="2" fillId="0" borderId="1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shrinkToFit="1"/>
    </xf>
    <xf numFmtId="164" fontId="2" fillId="0" borderId="15" xfId="2" applyNumberFormat="1" applyFont="1" applyBorder="1" applyAlignment="1" applyProtection="1">
      <alignment horizontal="center" vertical="center"/>
      <protection locked="0"/>
    </xf>
    <xf numFmtId="0" fontId="2" fillId="0" borderId="4" xfId="2" applyFont="1" applyBorder="1" applyAlignment="1" applyProtection="1">
      <alignment horizontal="center" vertical="center"/>
      <protection locked="0"/>
    </xf>
    <xf numFmtId="0" fontId="2" fillId="0" borderId="5" xfId="2" applyFont="1" applyBorder="1" applyAlignment="1">
      <alignment horizontal="left" vertical="center" shrinkToFit="1"/>
    </xf>
    <xf numFmtId="0" fontId="2" fillId="0" borderId="2" xfId="2" applyFont="1" applyBorder="1" applyAlignment="1" applyProtection="1">
      <alignment vertical="center"/>
      <protection locked="0"/>
    </xf>
    <xf numFmtId="0" fontId="2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3" fillId="0" borderId="5" xfId="1" applyFill="1" applyBorder="1" applyAlignment="1" applyProtection="1">
      <alignment horizontal="center" vertical="center"/>
      <protection locked="0"/>
    </xf>
    <xf numFmtId="0" fontId="2" fillId="0" borderId="5" xfId="2" applyFont="1" applyBorder="1" applyAlignment="1">
      <alignment horizontal="left" vertical="center" wrapText="1"/>
    </xf>
    <xf numFmtId="0" fontId="13" fillId="0" borderId="16" xfId="1" applyBorder="1" applyAlignment="1" applyProtection="1">
      <alignment horizontal="center" vertical="center"/>
      <protection locked="0"/>
    </xf>
    <xf numFmtId="0" fontId="2" fillId="0" borderId="16" xfId="2" applyFont="1" applyBorder="1" applyAlignment="1">
      <alignment horizontal="center" vertical="center"/>
    </xf>
    <xf numFmtId="0" fontId="2" fillId="0" borderId="17" xfId="2" applyFont="1" applyBorder="1" applyAlignment="1" applyProtection="1">
      <alignment horizontal="center" vertical="center"/>
      <protection locked="0"/>
    </xf>
    <xf numFmtId="0" fontId="2" fillId="0" borderId="18" xfId="2" applyFont="1" applyBorder="1" applyAlignment="1" applyProtection="1">
      <alignment vertical="center"/>
      <protection locked="0"/>
    </xf>
    <xf numFmtId="0" fontId="14" fillId="0" borderId="5" xfId="1" applyFont="1" applyBorder="1" applyAlignment="1" applyProtection="1">
      <alignment horizontal="center" vertical="center"/>
      <protection locked="0"/>
    </xf>
    <xf numFmtId="0" fontId="7" fillId="0" borderId="5" xfId="2" applyFont="1" applyBorder="1" applyAlignment="1">
      <alignment vertical="center" wrapText="1"/>
    </xf>
    <xf numFmtId="0" fontId="2" fillId="0" borderId="5" xfId="2" applyFont="1" applyBorder="1" applyAlignment="1">
      <alignment vertical="center" wrapText="1"/>
    </xf>
    <xf numFmtId="0" fontId="2" fillId="0" borderId="16" xfId="2" applyFont="1" applyBorder="1" applyAlignment="1" applyProtection="1">
      <alignment horizontal="center" vertical="center"/>
      <protection locked="0"/>
    </xf>
    <xf numFmtId="0" fontId="2" fillId="0" borderId="16" xfId="2" applyFont="1" applyBorder="1" applyAlignment="1">
      <alignment horizontal="left" vertical="center" wrapText="1"/>
    </xf>
    <xf numFmtId="0" fontId="2" fillId="0" borderId="16" xfId="2" applyFont="1" applyBorder="1" applyAlignment="1" applyProtection="1">
      <alignment horizontal="center" vertical="center" wrapText="1"/>
      <protection locked="0"/>
    </xf>
    <xf numFmtId="0" fontId="2" fillId="0" borderId="18" xfId="2" applyFont="1" applyBorder="1" applyAlignment="1" applyProtection="1">
      <alignment horizontal="center" vertical="center" wrapText="1" shrinkToFit="1"/>
      <protection locked="0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1" fillId="0" borderId="0" xfId="2" applyAlignment="1">
      <alignment shrinkToFit="1"/>
    </xf>
    <xf numFmtId="164" fontId="1" fillId="0" borderId="0" xfId="2" applyNumberFormat="1"/>
    <xf numFmtId="0" fontId="2" fillId="0" borderId="0" xfId="2" applyFont="1" applyAlignment="1">
      <alignment horizontal="center" vertical="center" shrinkToFit="1"/>
    </xf>
  </cellXfs>
  <cellStyles count="3">
    <cellStyle name="Hyperlink" xfId="1" builtinId="8"/>
    <cellStyle name="Normal" xfId="0" builtinId="0"/>
    <cellStyle name="Normal 2" xfId="2" xr:uid="{3D94FCAA-58A3-3F49-87B8-6399F315D9DF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double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1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79998168889431442"/>
        </patternFill>
      </fill>
    </dxf>
    <dxf>
      <fill>
        <patternFill>
          <bgColor rgb="FFCCFFFF"/>
        </patternFill>
      </fill>
    </dxf>
    <dxf>
      <fill>
        <patternFill>
          <bgColor rgb="FF99FF99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ocking%20Specs_Master%20Rev%203.0_edit.xlsx" TargetMode="External"/><Relationship Id="rId2" Type="http://schemas.openxmlformats.org/officeDocument/2006/relationships/externalLinkPath" Target="/Users/debdeeptochattopadhyay/Downloads/Docking%20Specs_Master%20Rev%203.0_edit.xlsx" TargetMode="External"/><Relationship Id="rId1" Type="http://schemas.openxmlformats.org/officeDocument/2006/relationships/externalLinkPath" Target="/Users/debdeeptochattopadhyay/Downloads/Docking%20Specs_Master%20Rev%203.0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S JobS (REF)"/>
      <sheetName val="SS Job Selection"/>
      <sheetName val="Doc CL"/>
      <sheetName val="Arr CL"/>
      <sheetName val="DD departure form"/>
      <sheetName val="Standard Job List"/>
      <sheetName val="Sample 1"/>
      <sheetName val="100"/>
      <sheetName val="110"/>
      <sheetName val="120"/>
      <sheetName val="200"/>
      <sheetName val="210"/>
      <sheetName val="220"/>
      <sheetName val="405"/>
      <sheetName val="406"/>
      <sheetName val="411"/>
      <sheetName val="415"/>
      <sheetName val="416"/>
      <sheetName val="420"/>
      <sheetName val="425"/>
      <sheetName val="435"/>
      <sheetName val="436"/>
      <sheetName val="440"/>
      <sheetName val="445"/>
      <sheetName val="450"/>
      <sheetName val="505"/>
      <sheetName val="575 (1)"/>
      <sheetName val="575 (2)"/>
      <sheetName val="605"/>
      <sheetName val="610"/>
      <sheetName val="615 (1)"/>
      <sheetName val="615 (2)"/>
      <sheetName val="615 (3)"/>
      <sheetName val="615 (4)"/>
      <sheetName val="615 (5)"/>
      <sheetName val="630 (1)"/>
      <sheetName val="630 (2)"/>
      <sheetName val="630 (3)"/>
      <sheetName val="630 (4)"/>
      <sheetName val="Job Codes"/>
      <sheetName val="Job Index"/>
      <sheetName val="640 (1)"/>
      <sheetName val="640 (2)"/>
      <sheetName val="640 (3)"/>
      <sheetName val="640 (4)"/>
      <sheetName val="645 (1)"/>
      <sheetName val="645 (2)"/>
      <sheetName val="650"/>
      <sheetName val="660"/>
      <sheetName val="705"/>
      <sheetName val="710 (1)"/>
      <sheetName val="710 (2)"/>
      <sheetName val="710 (3)"/>
      <sheetName val="710 (4)"/>
      <sheetName val="713"/>
      <sheetName val="714"/>
      <sheetName val="715"/>
      <sheetName val="720"/>
      <sheetName val="725"/>
      <sheetName val="730"/>
      <sheetName val="775"/>
      <sheetName val="780 (1)"/>
      <sheetName val="780 (2)"/>
      <sheetName val="810"/>
      <sheetName val="815"/>
      <sheetName val="816"/>
      <sheetName val="817"/>
      <sheetName val="818"/>
      <sheetName val="PIPE"/>
      <sheetName val="PIPE (2)"/>
      <sheetName val="HEATEX1"/>
      <sheetName val="MOTOR 1"/>
      <sheetName val="MOTOR 2"/>
      <sheetName val="MOTOR 3"/>
      <sheetName val="MOTOR 4"/>
      <sheetName val="MOTOR 5"/>
      <sheetName val="MOTOR 6"/>
      <sheetName val="MOTOR 7"/>
      <sheetName val="MOTOR 8"/>
      <sheetName val="MOTOR 9"/>
      <sheetName val="MOTOR 10"/>
      <sheetName val="MOTOR 11"/>
      <sheetName val="MOTOR 12"/>
      <sheetName val="MOTOR 13"/>
      <sheetName val="MOTOR 14"/>
      <sheetName val="MOTOR 15"/>
      <sheetName val="MOTOR 16"/>
      <sheetName val="MOTOR 17"/>
      <sheetName val="MOTOR 18"/>
      <sheetName val="MOTOR 19"/>
      <sheetName val="MOTOR 20"/>
      <sheetName val="MOTOR 21"/>
      <sheetName val="MOTOR 22"/>
      <sheetName val="MOTOR 23"/>
      <sheetName val="MOTOR 24"/>
      <sheetName val="MOTOR 25"/>
      <sheetName val="MOTOR 26"/>
      <sheetName val="MOTOR 27"/>
      <sheetName val="MOTOR 28"/>
      <sheetName val="MOTOR 29"/>
      <sheetName val="MOTOR 30"/>
      <sheetName val="MOTOR 31"/>
      <sheetName val="MOTOR 32"/>
      <sheetName val="MOTOR 33"/>
      <sheetName val="MOTOR 34"/>
      <sheetName val="MOTOR 35"/>
      <sheetName val="MOTOR 36"/>
      <sheetName val="MOTOR 37"/>
      <sheetName val="MOTOR 38"/>
      <sheetName val="MOTOR 39"/>
      <sheetName val="MOTOR 40"/>
      <sheetName val="SAMPLE2"/>
      <sheetName val="1001"/>
      <sheetName val="634.03"/>
      <sheetName val="281.01"/>
      <sheetName val="524.01"/>
      <sheetName val="403.01"/>
      <sheetName val="453.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 t="str">
            <v>Vessel Name</v>
          </cell>
        </row>
        <row r="43">
          <cell r="C43" t="str">
            <v>MANDATORY</v>
          </cell>
        </row>
      </sheetData>
      <sheetData sheetId="10">
        <row r="220">
          <cell r="C220" t="str">
            <v>N/A</v>
          </cell>
          <cell r="D220" t="str">
            <v>NA</v>
          </cell>
        </row>
        <row r="221">
          <cell r="C221" t="str">
            <v>N/A</v>
          </cell>
          <cell r="D221" t="str">
            <v>NA</v>
          </cell>
        </row>
        <row r="222">
          <cell r="C222" t="str">
            <v>MANDATORY</v>
          </cell>
        </row>
      </sheetData>
      <sheetData sheetId="11">
        <row r="320">
          <cell r="D320" t="str">
            <v>N/A</v>
          </cell>
          <cell r="E320" t="str">
            <v>N/A</v>
          </cell>
        </row>
        <row r="321">
          <cell r="D321" t="str">
            <v>N/A</v>
          </cell>
          <cell r="E321" t="str">
            <v>N/A</v>
          </cell>
        </row>
        <row r="322">
          <cell r="D322" t="str">
            <v>MANDATORY</v>
          </cell>
        </row>
      </sheetData>
      <sheetData sheetId="12">
        <row r="65">
          <cell r="D65" t="str">
            <v>N/A</v>
          </cell>
          <cell r="E65" t="str">
            <v>N/A</v>
          </cell>
        </row>
        <row r="66">
          <cell r="D66" t="str">
            <v>N/A</v>
          </cell>
          <cell r="E66" t="str">
            <v>N/A</v>
          </cell>
        </row>
        <row r="67">
          <cell r="D67" t="str">
            <v>PENDING</v>
          </cell>
        </row>
      </sheetData>
      <sheetData sheetId="13">
        <row r="50">
          <cell r="D50" t="str">
            <v>N/A</v>
          </cell>
          <cell r="E50" t="str">
            <v>N/A</v>
          </cell>
        </row>
        <row r="51">
          <cell r="D51" t="str">
            <v>PENDING APPROVAL</v>
          </cell>
          <cell r="E51" t="str">
            <v>##</v>
          </cell>
        </row>
        <row r="52">
          <cell r="D52" t="str">
            <v>PENDING</v>
          </cell>
        </row>
      </sheetData>
      <sheetData sheetId="14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15">
        <row r="110">
          <cell r="D110" t="str">
            <v>N/A</v>
          </cell>
          <cell r="E110" t="str">
            <v>N/A</v>
          </cell>
        </row>
        <row r="111">
          <cell r="D111" t="str">
            <v>N/A</v>
          </cell>
          <cell r="E111" t="str">
            <v>N/A</v>
          </cell>
        </row>
        <row r="112">
          <cell r="D112" t="str">
            <v>PENDING</v>
          </cell>
        </row>
      </sheetData>
      <sheetData sheetId="16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17">
        <row r="48">
          <cell r="D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CANCELLED</v>
          </cell>
        </row>
      </sheetData>
      <sheetData sheetId="18">
        <row r="56">
          <cell r="D56" t="str">
            <v>PENDING APPROVAL</v>
          </cell>
          <cell r="E56" t="str">
            <v>##</v>
          </cell>
        </row>
        <row r="57">
          <cell r="D57" t="str">
            <v>N/A</v>
          </cell>
          <cell r="E57" t="str">
            <v>N/A</v>
          </cell>
        </row>
        <row r="58">
          <cell r="D58" t="str">
            <v>PENDING</v>
          </cell>
        </row>
      </sheetData>
      <sheetData sheetId="19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20">
        <row r="55">
          <cell r="D55" t="str">
            <v>N/A</v>
          </cell>
          <cell r="E55" t="str">
            <v>N/A</v>
          </cell>
        </row>
        <row r="56">
          <cell r="D56" t="str">
            <v>N/A</v>
          </cell>
          <cell r="E56" t="str">
            <v>N/A</v>
          </cell>
        </row>
        <row r="57">
          <cell r="D57" t="str">
            <v>PENDING</v>
          </cell>
        </row>
      </sheetData>
      <sheetData sheetId="21">
        <row r="53">
          <cell r="D53" t="str">
            <v>N/A</v>
          </cell>
          <cell r="E53" t="str">
            <v>N/A</v>
          </cell>
        </row>
        <row r="54">
          <cell r="D54" t="str">
            <v>N/A</v>
          </cell>
          <cell r="E54" t="str">
            <v>N/A</v>
          </cell>
        </row>
        <row r="55">
          <cell r="D55" t="str">
            <v>PENDING</v>
          </cell>
        </row>
      </sheetData>
      <sheetData sheetId="22">
        <row r="56">
          <cell r="D56" t="str">
            <v>N/A</v>
          </cell>
          <cell r="E56" t="str">
            <v>N/A</v>
          </cell>
        </row>
        <row r="57">
          <cell r="D57" t="str">
            <v>N/A</v>
          </cell>
          <cell r="E57" t="str">
            <v>N/A</v>
          </cell>
        </row>
        <row r="58">
          <cell r="D58" t="str">
            <v>PENDING</v>
          </cell>
        </row>
      </sheetData>
      <sheetData sheetId="23">
        <row r="56">
          <cell r="D56" t="str">
            <v>N/A</v>
          </cell>
          <cell r="E56" t="str">
            <v>N/A</v>
          </cell>
        </row>
        <row r="57">
          <cell r="D57" t="str">
            <v>N/A</v>
          </cell>
          <cell r="E57" t="str">
            <v>N/A</v>
          </cell>
        </row>
        <row r="58">
          <cell r="D58" t="str">
            <v>CANCELLED</v>
          </cell>
        </row>
      </sheetData>
      <sheetData sheetId="24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  <row r="52">
          <cell r="D52" t="str">
            <v>PENDING</v>
          </cell>
        </row>
      </sheetData>
      <sheetData sheetId="25">
        <row r="51">
          <cell r="D51" t="str">
            <v>N/A</v>
          </cell>
          <cell r="E51" t="str">
            <v>N/A</v>
          </cell>
        </row>
        <row r="52">
          <cell r="D52" t="str">
            <v>N/A</v>
          </cell>
          <cell r="E52" t="str">
            <v>N/A</v>
          </cell>
        </row>
        <row r="53">
          <cell r="D53" t="str">
            <v>PENDING</v>
          </cell>
        </row>
      </sheetData>
      <sheetData sheetId="26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27">
        <row r="72">
          <cell r="D72" t="str">
            <v>N/A</v>
          </cell>
          <cell r="E72" t="str">
            <v>N/A</v>
          </cell>
        </row>
        <row r="73">
          <cell r="D73" t="str">
            <v>N/A</v>
          </cell>
          <cell r="E73" t="str">
            <v>N/A</v>
          </cell>
        </row>
        <row r="74">
          <cell r="D74" t="str">
            <v>PENDING</v>
          </cell>
        </row>
      </sheetData>
      <sheetData sheetId="28">
        <row r="115">
          <cell r="D115" t="str">
            <v>PENDING APPROVAL</v>
          </cell>
          <cell r="E115" t="str">
            <v>##</v>
          </cell>
        </row>
        <row r="116">
          <cell r="D116" t="str">
            <v>N/A</v>
          </cell>
          <cell r="E116" t="str">
            <v>N/A</v>
          </cell>
        </row>
        <row r="117">
          <cell r="D117" t="str">
            <v>PENDING</v>
          </cell>
        </row>
      </sheetData>
      <sheetData sheetId="29">
        <row r="115">
          <cell r="D115" t="str">
            <v>PENDING APPROVAL</v>
          </cell>
          <cell r="E115" t="str">
            <v>##</v>
          </cell>
        </row>
        <row r="116">
          <cell r="D116" t="str">
            <v>N/A</v>
          </cell>
          <cell r="E116" t="str">
            <v>N/A</v>
          </cell>
        </row>
        <row r="117">
          <cell r="D117" t="str">
            <v>PENDING</v>
          </cell>
        </row>
      </sheetData>
      <sheetData sheetId="30">
        <row r="47">
          <cell r="D47" t="str">
            <v>PENDING APPROVAL</v>
          </cell>
          <cell r="E47" t="str">
            <v>##</v>
          </cell>
        </row>
        <row r="48">
          <cell r="D48" t="str">
            <v>N/A</v>
          </cell>
          <cell r="E48" t="str">
            <v>N/A</v>
          </cell>
        </row>
        <row r="49">
          <cell r="D49" t="str">
            <v>PENDING</v>
          </cell>
        </row>
      </sheetData>
      <sheetData sheetId="31">
        <row r="50">
          <cell r="D50" t="str">
            <v>PENDING APPROVAL</v>
          </cell>
          <cell r="E50" t="str">
            <v>##</v>
          </cell>
        </row>
        <row r="51">
          <cell r="D51" t="str">
            <v>N/A</v>
          </cell>
          <cell r="E51" t="str">
            <v>N/A</v>
          </cell>
        </row>
        <row r="52">
          <cell r="D52" t="str">
            <v>PENDING</v>
          </cell>
        </row>
      </sheetData>
      <sheetData sheetId="32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  <row r="52">
          <cell r="D52" t="str">
            <v>PENDING</v>
          </cell>
        </row>
      </sheetData>
      <sheetData sheetId="33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</sheetData>
      <sheetData sheetId="34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</sheetData>
      <sheetData sheetId="35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</sheetData>
      <sheetData sheetId="36">
        <row r="50">
          <cell r="D50" t="str">
            <v>N/A</v>
          </cell>
          <cell r="E50" t="str">
            <v>N/A</v>
          </cell>
        </row>
        <row r="51">
          <cell r="D51" t="str">
            <v>N/A</v>
          </cell>
          <cell r="E51" t="str">
            <v>N/A</v>
          </cell>
        </row>
      </sheetData>
      <sheetData sheetId="37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38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</sheetData>
      <sheetData sheetId="39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40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1">
          <cell r="D51" t="str">
            <v>N/A</v>
          </cell>
          <cell r="E51" t="str">
            <v>N/A</v>
          </cell>
        </row>
        <row r="52">
          <cell r="D52" t="str">
            <v>N/A</v>
          </cell>
          <cell r="E52" t="str">
            <v>N/A</v>
          </cell>
        </row>
        <row r="53">
          <cell r="D53" t="str">
            <v>PENDING</v>
          </cell>
        </row>
      </sheetData>
      <sheetData sheetId="50">
        <row r="48">
          <cell r="D48" t="str">
            <v>N/A</v>
          </cell>
          <cell r="E48" t="str">
            <v>N/A</v>
          </cell>
        </row>
        <row r="49">
          <cell r="D49" t="str">
            <v>N/A</v>
          </cell>
          <cell r="E49" t="str">
            <v>N/A</v>
          </cell>
        </row>
        <row r="50">
          <cell r="D50" t="str">
            <v>PENDING</v>
          </cell>
        </row>
      </sheetData>
      <sheetData sheetId="51">
        <row r="67">
          <cell r="D67" t="str">
            <v>P.I. RECEIVED</v>
          </cell>
          <cell r="E67" t="str">
            <v>NA</v>
          </cell>
        </row>
        <row r="68">
          <cell r="D68" t="str">
            <v>P.O. ISSUED</v>
          </cell>
          <cell r="E68" t="str">
            <v>NA</v>
          </cell>
        </row>
        <row r="69">
          <cell r="D69" t="str">
            <v>PENDING</v>
          </cell>
        </row>
      </sheetData>
      <sheetData sheetId="52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3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4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5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6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7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58">
        <row r="59">
          <cell r="D59" t="str">
            <v>P.I. RECEIVED</v>
          </cell>
          <cell r="E59" t="str">
            <v>NA</v>
          </cell>
        </row>
        <row r="60">
          <cell r="D60" t="str">
            <v>P.O. ISSUED</v>
          </cell>
          <cell r="E60" t="str">
            <v>NA</v>
          </cell>
        </row>
        <row r="61">
          <cell r="D61" t="str">
            <v>PENDING</v>
          </cell>
        </row>
      </sheetData>
      <sheetData sheetId="59">
        <row r="69">
          <cell r="D69" t="str">
            <v>P.I. RECEIVED</v>
          </cell>
          <cell r="E69" t="str">
            <v>NA</v>
          </cell>
        </row>
        <row r="70">
          <cell r="D70" t="str">
            <v>P.O. ISSUED</v>
          </cell>
          <cell r="E70" t="str">
            <v>NA</v>
          </cell>
        </row>
        <row r="71">
          <cell r="D71" t="str">
            <v>PENDING</v>
          </cell>
        </row>
      </sheetData>
      <sheetData sheetId="60">
        <row r="59">
          <cell r="D59" t="str">
            <v>P.I. RECEIVED</v>
          </cell>
          <cell r="E59" t="str">
            <v>NA</v>
          </cell>
        </row>
        <row r="60">
          <cell r="D60" t="str">
            <v>P.O. ISSUED</v>
          </cell>
          <cell r="E60" t="str">
            <v>NA</v>
          </cell>
        </row>
        <row r="61">
          <cell r="D61" t="str">
            <v>PENDING</v>
          </cell>
        </row>
      </sheetData>
      <sheetData sheetId="61"/>
      <sheetData sheetId="62">
        <row r="123">
          <cell r="D123" t="str">
            <v>P.I. RECEIVED</v>
          </cell>
          <cell r="E123" t="str">
            <v>NA</v>
          </cell>
        </row>
        <row r="124">
          <cell r="D124" t="str">
            <v>P.O. ISSUED</v>
          </cell>
          <cell r="E124" t="str">
            <v>NA</v>
          </cell>
        </row>
        <row r="125">
          <cell r="D125" t="str">
            <v>PENDING</v>
          </cell>
        </row>
      </sheetData>
      <sheetData sheetId="63">
        <row r="54">
          <cell r="D54" t="str">
            <v>P.I. RECEIVED</v>
          </cell>
          <cell r="E54" t="str">
            <v>NA</v>
          </cell>
        </row>
        <row r="55">
          <cell r="D55" t="str">
            <v>P.O. ISSUED</v>
          </cell>
          <cell r="E55" t="str">
            <v>NA</v>
          </cell>
        </row>
        <row r="56">
          <cell r="D56" t="str">
            <v>PENDING</v>
          </cell>
        </row>
      </sheetData>
      <sheetData sheetId="64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65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66">
        <row r="48">
          <cell r="D48" t="str">
            <v>P.I. RECEIVED</v>
          </cell>
          <cell r="E48" t="str">
            <v>NA</v>
          </cell>
        </row>
        <row r="49">
          <cell r="D49" t="str">
            <v>P.O. ISSUED</v>
          </cell>
          <cell r="E49" t="str">
            <v>NA</v>
          </cell>
        </row>
        <row r="50">
          <cell r="D50" t="str">
            <v>PENDING</v>
          </cell>
        </row>
      </sheetData>
      <sheetData sheetId="67">
        <row r="65">
          <cell r="D65" t="str">
            <v>P.I. RECEIVED</v>
          </cell>
          <cell r="E65" t="str">
            <v>NA</v>
          </cell>
        </row>
        <row r="66">
          <cell r="D66" t="str">
            <v>P.O. ISSUED</v>
          </cell>
          <cell r="E66" t="str">
            <v>NA</v>
          </cell>
        </row>
        <row r="67">
          <cell r="D67" t="str">
            <v>PENDING</v>
          </cell>
        </row>
      </sheetData>
      <sheetData sheetId="68">
        <row r="55">
          <cell r="D55" t="str">
            <v>P.I. RECEIVED</v>
          </cell>
          <cell r="E55" t="str">
            <v>NA</v>
          </cell>
        </row>
        <row r="56">
          <cell r="D56" t="str">
            <v>P.O. ISSUED</v>
          </cell>
          <cell r="E56" t="str">
            <v>NA</v>
          </cell>
        </row>
        <row r="57">
          <cell r="D57" t="str">
            <v>PENDING</v>
          </cell>
        </row>
      </sheetData>
      <sheetData sheetId="69">
        <row r="61">
          <cell r="D61" t="str">
            <v>P.I. RECEIVED</v>
          </cell>
          <cell r="E61" t="str">
            <v>NA</v>
          </cell>
        </row>
        <row r="62">
          <cell r="D62" t="str">
            <v>P.O. ISSUED</v>
          </cell>
          <cell r="E62" t="str">
            <v>NA</v>
          </cell>
        </row>
        <row r="63">
          <cell r="D63" t="str">
            <v>PENDING</v>
          </cell>
        </row>
      </sheetData>
      <sheetData sheetId="70">
        <row r="128">
          <cell r="D128" t="str">
            <v>P.I. RECEIVED</v>
          </cell>
          <cell r="E128" t="str">
            <v>NA</v>
          </cell>
        </row>
        <row r="129">
          <cell r="D129" t="str">
            <v>P.O. ISSUED</v>
          </cell>
          <cell r="E129" t="str">
            <v>NA</v>
          </cell>
        </row>
        <row r="130">
          <cell r="D130" t="str">
            <v>COMPLETED</v>
          </cell>
        </row>
      </sheetData>
      <sheetData sheetId="71"/>
      <sheetData sheetId="72">
        <row r="81">
          <cell r="D81" t="str">
            <v>P.I. RECEIVED</v>
          </cell>
          <cell r="E81" t="str">
            <v>NA</v>
          </cell>
        </row>
        <row r="82">
          <cell r="D82" t="str">
            <v>P.O. ISSUED</v>
          </cell>
          <cell r="E82" t="str">
            <v>NA</v>
          </cell>
        </row>
        <row r="83">
          <cell r="D83" t="str">
            <v>CANCELLED</v>
          </cell>
        </row>
      </sheetData>
      <sheetData sheetId="73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74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PARTIAL</v>
          </cell>
        </row>
      </sheetData>
      <sheetData sheetId="75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COMPLETED</v>
          </cell>
        </row>
      </sheetData>
      <sheetData sheetId="76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CANCELLED</v>
          </cell>
        </row>
      </sheetData>
      <sheetData sheetId="77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78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79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0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1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2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3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4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5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6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7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8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89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0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1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2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3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4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5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6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7">
        <row r="92">
          <cell r="D92" t="str">
            <v>PENDING APPROVAL</v>
          </cell>
          <cell r="E92" t="str">
            <v>##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PENDING</v>
          </cell>
        </row>
      </sheetData>
      <sheetData sheetId="98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99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0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1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2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3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4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5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6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7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8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09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10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11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12">
        <row r="92">
          <cell r="D92" t="str">
            <v>N/A</v>
          </cell>
          <cell r="E92" t="str">
            <v>N/A</v>
          </cell>
        </row>
        <row r="93">
          <cell r="D93" t="str">
            <v>N/A</v>
          </cell>
          <cell r="E93" t="str">
            <v>N/A</v>
          </cell>
        </row>
        <row r="94">
          <cell r="D94" t="str">
            <v>N/A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16156-7EFD-9E4E-99A7-63B3A9CA4472}" name="Table12" displayName="Table12" ref="A13:S340" totalsRowShown="0" headerRowDxfId="23" dataDxfId="22" headerRowBorderDxfId="20" tableBorderDxfId="21" totalsRowBorderDxfId="19">
  <autoFilter ref="A13:S340" xr:uid="{C38354CC-342A-443A-B64C-DBBBBB9AB9AE}"/>
  <sortState xmlns:xlrd2="http://schemas.microsoft.com/office/spreadsheetml/2017/richdata2" ref="A14:S340">
    <sortCondition ref="E13:E340"/>
  </sortState>
  <tableColumns count="19">
    <tableColumn id="1" xr3:uid="{161A6B3F-CAC0-A148-AEA3-C5E601D97111}" name="Sl." dataDxfId="18"/>
    <tableColumn id="15" xr3:uid="{2A68F65D-2B14-4D4E-9406-E5F62CED33A7}" name="Mandatory Job" dataDxfId="17" dataCellStyle="Normal 2"/>
    <tableColumn id="13" xr3:uid="{22E62190-61C1-2747-B005-00FDEED7F67A}" name="REQD." dataDxfId="16"/>
    <tableColumn id="2" xr3:uid="{3CDFB8CE-2A25-A747-849B-E20FDA205BF2}" name="DEPT." dataDxfId="15"/>
    <tableColumn id="14" xr3:uid="{B14E283E-1EC4-1B46-B2D6-16FFCE89D3D0}" name="OFFICE" dataDxfId="14" dataCellStyle="Normal 2"/>
    <tableColumn id="3" xr3:uid="{65D292AC-4E56-6F41-AF00-5FA125CFC1E6}" name="SPEC No." dataDxfId="13"/>
    <tableColumn id="4" xr3:uid="{F37DA164-6AB4-D140-83B1-EDF8952B4967}" name="JOB STATUS" dataDxfId="12"/>
    <tableColumn id="5" xr3:uid="{D81B33D2-02AB-494D-897F-6E7F336BEC2E}" name="DESCRIPTION" dataDxfId="11"/>
    <tableColumn id="6" xr3:uid="{EC03DC67-BEBA-0C42-B9F4-AEF5479CC8E7}" name="TIMING" dataDxfId="10"/>
    <tableColumn id="7" xr3:uid="{CBBF65EE-BD42-7644-A763-A86A2791E727}" name="RESPONSIBILITY" dataDxfId="9"/>
    <tableColumn id="16" xr3:uid="{D6ACE9B2-6064-8E4B-A74B-660B516A9BA4}" name="SPARES P.O. NUMBER" dataDxfId="8" dataCellStyle="Normal 2">
      <calculatedColumnFormula>'[1]110'!C219</calculatedColumnFormula>
    </tableColumn>
    <tableColumn id="9" xr3:uid="{6EB466D1-5509-2A43-BC07-ACCA449CC2F5}" name="SPARES P.O. STATUS" dataDxfId="7"/>
    <tableColumn id="17" xr3:uid="{CB178F29-AAC4-AC40-AD3D-D80B70065E45}" name="EST. SPARES COST" dataDxfId="6" dataCellStyle="Normal 2"/>
    <tableColumn id="8" xr3:uid="{97925162-A15B-0740-87BD-176D3BD6F389}" name="SERVICE P.O. NUMBER" dataDxfId="5" dataCellStyle="Normal 2">
      <calculatedColumnFormula>'[1]110'!C220</calculatedColumnFormula>
    </tableColumn>
    <tableColumn id="19" xr3:uid="{C2CB1C8E-93D5-2843-B1AD-1F8891F79628}" name="SERVICE P.O. STATUS" dataDxfId="4" dataCellStyle="Normal 2"/>
    <tableColumn id="18" xr3:uid="{A502B75F-13D0-D742-BDF2-4B53EFF4F548}" name="EST. SERVICE COST" dataDxfId="3" dataCellStyle="Normal 2"/>
    <tableColumn id="10" xr3:uid="{3A6ACC30-0C38-F24F-B539-C915D4C3BA30}" name="ACCOUNT CODE" dataDxfId="2"/>
    <tableColumn id="11" xr3:uid="{C3B8964E-BCDD-2141-8C85-546C4819668B}" name="ACCOUNT DESCRIPTION" dataDxfId="1">
      <calculatedColumnFormula>VLOOKUP(Q14,$AC$1:$AD$11,2,FALSE)</calculatedColumnFormula>
    </tableColumn>
    <tableColumn id="12" xr3:uid="{3536744C-27FE-5C49-BCB7-806D74EA8474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F64B-AEB7-2A43-B99F-978CEA388954}">
  <sheetPr>
    <tabColor theme="5" tint="0.79998168889431442"/>
  </sheetPr>
  <dimension ref="A1:AJ340"/>
  <sheetViews>
    <sheetView tabSelected="1" topLeftCell="A52" zoomScaleNormal="100" workbookViewId="0">
      <selection activeCell="I57" sqref="I57"/>
    </sheetView>
  </sheetViews>
  <sheetFormatPr baseColWidth="10" defaultColWidth="9.1640625" defaultRowHeight="15" x14ac:dyDescent="0.2"/>
  <cols>
    <col min="1" max="1" width="5.33203125" style="68" customWidth="1"/>
    <col min="2" max="2" width="9.83203125" style="68" customWidth="1"/>
    <col min="3" max="3" width="8.5" style="68" customWidth="1"/>
    <col min="4" max="5" width="10.6640625" style="68" customWidth="1"/>
    <col min="6" max="6" width="11" style="68" customWidth="1"/>
    <col min="7" max="7" width="18.83203125" style="68" customWidth="1"/>
    <col min="8" max="8" width="57.5" style="38" customWidth="1"/>
    <col min="9" max="9" width="18.83203125" style="68" customWidth="1"/>
    <col min="10" max="11" width="18.1640625" style="69" customWidth="1"/>
    <col min="12" max="12" width="18.1640625" style="70" customWidth="1"/>
    <col min="13" max="13" width="15.5" style="71" customWidth="1"/>
    <col min="14" max="14" width="18.1640625" style="68" customWidth="1"/>
    <col min="15" max="15" width="18.1640625" style="70" customWidth="1"/>
    <col min="16" max="16" width="15.5" style="71" customWidth="1"/>
    <col min="17" max="17" width="13" style="68" customWidth="1"/>
    <col min="18" max="18" width="34.5" style="72" customWidth="1"/>
    <col min="19" max="19" width="50.5" style="68" customWidth="1"/>
    <col min="20" max="22" width="5.33203125" style="53" customWidth="1"/>
    <col min="23" max="23" width="10.5" style="53" customWidth="1"/>
    <col min="24" max="24" width="11.5" style="53" customWidth="1"/>
    <col min="25" max="25" width="3.33203125" style="53" customWidth="1"/>
    <col min="26" max="26" width="10.5" style="53" customWidth="1"/>
    <col min="27" max="28" width="10" style="53" customWidth="1"/>
    <col min="29" max="29" width="7" style="53" customWidth="1"/>
    <col min="30" max="30" width="10" style="53" customWidth="1"/>
    <col min="31" max="16384" width="9.1640625" style="53"/>
  </cols>
  <sheetData>
    <row r="1" spans="1:36" s="1" customFormat="1" x14ac:dyDescent="0.2">
      <c r="H1" s="2"/>
      <c r="J1" s="2"/>
      <c r="K1" s="2"/>
      <c r="L1" s="3"/>
      <c r="M1" s="4"/>
      <c r="O1" s="3"/>
      <c r="P1" s="4"/>
      <c r="R1" s="3"/>
      <c r="W1" s="5" t="s">
        <v>0</v>
      </c>
      <c r="X1" s="5" t="s">
        <v>1</v>
      </c>
      <c r="Y1" s="5">
        <v>1</v>
      </c>
      <c r="Z1" s="5" t="s">
        <v>2</v>
      </c>
      <c r="AA1" s="5" t="s">
        <v>3</v>
      </c>
      <c r="AB1" s="5" t="s">
        <v>4</v>
      </c>
      <c r="AC1" s="5" t="s">
        <v>5</v>
      </c>
      <c r="AD1" s="5" t="s">
        <v>6</v>
      </c>
      <c r="AE1" s="5" t="s">
        <v>7</v>
      </c>
      <c r="AF1" s="5"/>
      <c r="AG1" s="6"/>
      <c r="AH1" s="7"/>
      <c r="AI1" s="7"/>
      <c r="AJ1" s="7"/>
    </row>
    <row r="2" spans="1:36" s="1" customFormat="1" x14ac:dyDescent="0.2">
      <c r="H2" s="2"/>
      <c r="J2" s="2"/>
      <c r="K2" s="2"/>
      <c r="L2" s="3"/>
      <c r="M2" s="4"/>
      <c r="O2" s="3"/>
      <c r="P2" s="4"/>
      <c r="R2" s="8" t="s">
        <v>8</v>
      </c>
      <c r="S2" s="4">
        <f>SUM(Table12[EST. SPARES COST])</f>
        <v>0</v>
      </c>
      <c r="W2" s="6" t="s">
        <v>9</v>
      </c>
      <c r="X2" s="6" t="s">
        <v>10</v>
      </c>
      <c r="Y2" s="6">
        <v>2</v>
      </c>
      <c r="Z2" s="6" t="s">
        <v>11</v>
      </c>
      <c r="AA2" s="6" t="s">
        <v>12</v>
      </c>
      <c r="AB2" s="6" t="s">
        <v>13</v>
      </c>
      <c r="AC2" s="6" t="s">
        <v>14</v>
      </c>
      <c r="AD2" s="6" t="s">
        <v>15</v>
      </c>
      <c r="AE2" s="6" t="s">
        <v>16</v>
      </c>
      <c r="AF2" s="6"/>
      <c r="AG2" s="6"/>
      <c r="AH2" s="7"/>
      <c r="AI2" s="7"/>
      <c r="AJ2" s="7"/>
    </row>
    <row r="3" spans="1:36" s="1" customFormat="1" x14ac:dyDescent="0.2">
      <c r="H3" s="2"/>
      <c r="J3" s="2"/>
      <c r="K3" s="2"/>
      <c r="O3" s="3"/>
      <c r="P3" s="4"/>
      <c r="R3" s="8" t="s">
        <v>17</v>
      </c>
      <c r="S3" s="4">
        <f>SUM(Table12[EST. SERVICE COST])</f>
        <v>0</v>
      </c>
      <c r="W3" s="6" t="s">
        <v>18</v>
      </c>
      <c r="X3" s="6" t="s">
        <v>19</v>
      </c>
      <c r="Y3" s="6">
        <v>3</v>
      </c>
      <c r="Z3" s="6" t="s">
        <v>20</v>
      </c>
      <c r="AA3" s="6" t="s">
        <v>21</v>
      </c>
      <c r="AB3" s="6" t="s">
        <v>22</v>
      </c>
      <c r="AC3" s="6" t="s">
        <v>23</v>
      </c>
      <c r="AD3" s="6" t="s">
        <v>24</v>
      </c>
      <c r="AE3" s="6"/>
      <c r="AF3" s="6"/>
      <c r="AG3" s="6"/>
      <c r="AH3" s="7"/>
      <c r="AI3" s="7"/>
      <c r="AJ3" s="7"/>
    </row>
    <row r="4" spans="1:36" s="1" customFormat="1" x14ac:dyDescent="0.2">
      <c r="H4" s="2"/>
      <c r="J4" s="2"/>
      <c r="K4" s="2"/>
      <c r="O4" s="3"/>
      <c r="P4" s="4"/>
      <c r="R4" s="3"/>
      <c r="W4" s="6" t="s">
        <v>25</v>
      </c>
      <c r="X4" s="6" t="s">
        <v>26</v>
      </c>
      <c r="Y4" s="6">
        <v>4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/>
      <c r="AF4" s="6"/>
      <c r="AG4" s="6"/>
      <c r="AH4" s="7"/>
      <c r="AI4" s="7"/>
      <c r="AJ4" s="7"/>
    </row>
    <row r="5" spans="1:36" s="1" customFormat="1" x14ac:dyDescent="0.2">
      <c r="H5" s="2"/>
      <c r="J5" s="2"/>
      <c r="K5" s="2"/>
      <c r="L5" s="3"/>
      <c r="M5" s="4"/>
      <c r="O5" s="3"/>
      <c r="P5" s="4"/>
      <c r="R5" s="3"/>
      <c r="W5" s="6" t="s">
        <v>32</v>
      </c>
      <c r="X5" s="6" t="s">
        <v>33</v>
      </c>
      <c r="Y5" s="6">
        <v>5</v>
      </c>
      <c r="Z5" s="6" t="s">
        <v>34</v>
      </c>
      <c r="AA5" s="6" t="s">
        <v>35</v>
      </c>
      <c r="AB5" s="6" t="s">
        <v>36</v>
      </c>
      <c r="AC5" s="6" t="s">
        <v>37</v>
      </c>
      <c r="AD5" s="6" t="s">
        <v>38</v>
      </c>
      <c r="AE5" s="6"/>
      <c r="AF5" s="6"/>
      <c r="AG5" s="6"/>
      <c r="AH5" s="7"/>
      <c r="AI5" s="7"/>
      <c r="AJ5" s="7"/>
    </row>
    <row r="6" spans="1:36" s="1" customFormat="1" x14ac:dyDescent="0.2">
      <c r="H6" s="2"/>
      <c r="J6" s="2"/>
      <c r="K6" s="2"/>
      <c r="L6" s="3"/>
      <c r="M6" s="4"/>
      <c r="O6" s="3"/>
      <c r="P6" s="4"/>
      <c r="R6" s="3"/>
      <c r="W6" s="6"/>
      <c r="X6" s="6"/>
      <c r="Y6" s="6">
        <v>6</v>
      </c>
      <c r="Z6" s="6" t="s">
        <v>39</v>
      </c>
      <c r="AA6" s="6" t="s">
        <v>40</v>
      </c>
      <c r="AB6" s="6" t="s">
        <v>41</v>
      </c>
      <c r="AC6" s="6" t="s">
        <v>42</v>
      </c>
      <c r="AD6" s="6" t="s">
        <v>43</v>
      </c>
      <c r="AE6" s="6"/>
      <c r="AF6" s="6"/>
      <c r="AG6" s="6"/>
      <c r="AH6" s="7"/>
      <c r="AI6" s="7"/>
      <c r="AJ6" s="7"/>
    </row>
    <row r="7" spans="1:36" s="1" customFormat="1" x14ac:dyDescent="0.2">
      <c r="H7" s="2"/>
      <c r="J7" s="2"/>
      <c r="K7" s="2"/>
      <c r="L7" s="3"/>
      <c r="M7" s="4"/>
      <c r="O7" s="3"/>
      <c r="P7" s="4"/>
      <c r="R7" s="3"/>
      <c r="W7" s="6"/>
      <c r="X7" s="6"/>
      <c r="Y7" s="6">
        <v>7</v>
      </c>
      <c r="Z7" s="6" t="s">
        <v>44</v>
      </c>
      <c r="AA7" s="6" t="s">
        <v>45</v>
      </c>
      <c r="AB7" s="6"/>
      <c r="AC7" s="6" t="s">
        <v>46</v>
      </c>
      <c r="AD7" s="6" t="s">
        <v>47</v>
      </c>
      <c r="AE7" s="6"/>
      <c r="AF7" s="6"/>
      <c r="AG7" s="6"/>
      <c r="AH7" s="7"/>
      <c r="AI7" s="7"/>
      <c r="AJ7" s="7"/>
    </row>
    <row r="8" spans="1:36" s="1" customFormat="1" x14ac:dyDescent="0.2">
      <c r="E8" s="9" t="s">
        <v>48</v>
      </c>
      <c r="F8" s="9"/>
      <c r="G8" s="9"/>
      <c r="H8" s="2"/>
      <c r="J8" s="2"/>
      <c r="K8" s="2"/>
      <c r="L8" s="3"/>
      <c r="M8" s="4"/>
      <c r="O8" s="3"/>
      <c r="P8" s="4"/>
      <c r="R8" s="3"/>
      <c r="W8" s="6"/>
      <c r="X8" s="6"/>
      <c r="Y8" s="6"/>
      <c r="Z8" s="6"/>
      <c r="AA8" s="6" t="s">
        <v>49</v>
      </c>
      <c r="AB8" s="6"/>
      <c r="AC8" s="6" t="s">
        <v>50</v>
      </c>
      <c r="AD8" s="6" t="s">
        <v>51</v>
      </c>
      <c r="AE8" s="6"/>
      <c r="AF8" s="6"/>
      <c r="AG8" s="6"/>
      <c r="AH8" s="7"/>
      <c r="AI8" s="7"/>
      <c r="AJ8" s="7"/>
    </row>
    <row r="9" spans="1:36" s="1" customFormat="1" ht="16" x14ac:dyDescent="0.2">
      <c r="D9" s="10" t="s">
        <v>52</v>
      </c>
      <c r="E9" s="11" t="str">
        <f>'[1]100'!C3</f>
        <v>Vessel Name</v>
      </c>
      <c r="F9" s="12"/>
      <c r="G9" s="13"/>
      <c r="H9" s="14" t="s">
        <v>53</v>
      </c>
      <c r="I9" s="15">
        <f ca="1">NOW()</f>
        <v>46163.73993009259</v>
      </c>
      <c r="J9" s="2"/>
      <c r="K9" s="10" t="s">
        <v>54</v>
      </c>
      <c r="L9" s="16"/>
      <c r="M9" s="17"/>
      <c r="N9" s="18"/>
      <c r="O9" s="3"/>
      <c r="P9" s="4"/>
      <c r="R9" s="19"/>
      <c r="W9" s="6"/>
      <c r="X9" s="6"/>
      <c r="Y9" s="6"/>
      <c r="Z9" s="6"/>
      <c r="AA9" s="6" t="s">
        <v>55</v>
      </c>
      <c r="AB9" s="6"/>
      <c r="AC9" s="6" t="s">
        <v>56</v>
      </c>
      <c r="AD9" s="6" t="s">
        <v>57</v>
      </c>
      <c r="AE9" s="6"/>
      <c r="AF9" s="6"/>
      <c r="AG9" s="6"/>
      <c r="AH9" s="7"/>
      <c r="AI9" s="7"/>
      <c r="AJ9" s="7"/>
    </row>
    <row r="10" spans="1:36" s="1" customFormat="1" ht="16" thickBot="1" x14ac:dyDescent="0.25">
      <c r="H10" s="2"/>
      <c r="J10" s="2"/>
      <c r="K10" s="2"/>
      <c r="L10" s="3"/>
      <c r="M10" s="4"/>
      <c r="O10" s="3"/>
      <c r="P10" s="4"/>
      <c r="R10" s="3"/>
      <c r="W10" s="6"/>
      <c r="X10" s="6"/>
      <c r="Y10" s="6"/>
      <c r="Z10" s="6"/>
      <c r="AA10" s="6" t="s">
        <v>58</v>
      </c>
      <c r="AB10" s="6"/>
      <c r="AC10" s="6" t="s">
        <v>59</v>
      </c>
      <c r="AD10" s="6" t="s">
        <v>60</v>
      </c>
      <c r="AE10" s="6"/>
      <c r="AF10" s="6"/>
      <c r="AG10" s="6"/>
      <c r="AH10" s="7"/>
      <c r="AI10" s="7"/>
      <c r="AJ10" s="7"/>
    </row>
    <row r="11" spans="1:36" s="1" customFormat="1" ht="23" thickBot="1" x14ac:dyDescent="0.25">
      <c r="A11" s="20" t="s">
        <v>61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"/>
      <c r="T11" s="23"/>
      <c r="U11" s="23"/>
      <c r="V11" s="23"/>
      <c r="W11" s="6"/>
      <c r="X11" s="6"/>
      <c r="Y11" s="6"/>
      <c r="Z11" s="6"/>
      <c r="AA11" s="6" t="s">
        <v>62</v>
      </c>
      <c r="AB11" s="6"/>
      <c r="AC11" s="6" t="s">
        <v>63</v>
      </c>
      <c r="AD11" s="6" t="s">
        <v>64</v>
      </c>
      <c r="AE11" s="6"/>
      <c r="AF11" s="6"/>
      <c r="AG11" s="6"/>
      <c r="AH11" s="7"/>
      <c r="AI11" s="7"/>
      <c r="AJ11" s="7"/>
    </row>
    <row r="12" spans="1:36" s="1" customFormat="1" x14ac:dyDescent="0.2">
      <c r="G12" s="24" t="s">
        <v>65</v>
      </c>
      <c r="H12" s="2"/>
      <c r="I12" s="24" t="s">
        <v>66</v>
      </c>
      <c r="J12" s="24" t="s">
        <v>66</v>
      </c>
      <c r="K12" s="2"/>
      <c r="L12" s="3"/>
      <c r="M12" s="4"/>
      <c r="O12" s="3"/>
      <c r="P12" s="4"/>
      <c r="R12" s="3"/>
      <c r="W12" s="6"/>
      <c r="X12" s="6"/>
      <c r="Y12" s="6"/>
      <c r="Z12" s="6"/>
      <c r="AA12" s="6" t="s">
        <v>41</v>
      </c>
      <c r="AB12" s="6"/>
      <c r="AC12" s="6"/>
      <c r="AD12" s="6"/>
      <c r="AE12" s="6"/>
      <c r="AF12" s="6"/>
      <c r="AG12" s="6"/>
      <c r="AH12" s="7"/>
      <c r="AI12" s="7"/>
      <c r="AJ12" s="7"/>
    </row>
    <row r="13" spans="1:36" s="38" customFormat="1" ht="34" x14ac:dyDescent="0.2">
      <c r="A13" s="25" t="s">
        <v>67</v>
      </c>
      <c r="B13" s="26" t="s">
        <v>68</v>
      </c>
      <c r="C13" s="25" t="s">
        <v>69</v>
      </c>
      <c r="D13" s="27" t="s">
        <v>70</v>
      </c>
      <c r="E13" s="27" t="s">
        <v>71</v>
      </c>
      <c r="F13" s="27" t="s">
        <v>72</v>
      </c>
      <c r="G13" s="27" t="s">
        <v>73</v>
      </c>
      <c r="H13" s="27" t="s">
        <v>74</v>
      </c>
      <c r="I13" s="28" t="s">
        <v>75</v>
      </c>
      <c r="J13" s="29" t="s">
        <v>76</v>
      </c>
      <c r="K13" s="30" t="s">
        <v>77</v>
      </c>
      <c r="L13" s="27" t="s">
        <v>78</v>
      </c>
      <c r="M13" s="31" t="s">
        <v>79</v>
      </c>
      <c r="N13" s="30" t="s">
        <v>80</v>
      </c>
      <c r="O13" s="27" t="s">
        <v>81</v>
      </c>
      <c r="P13" s="31" t="s">
        <v>82</v>
      </c>
      <c r="Q13" s="25" t="s">
        <v>83</v>
      </c>
      <c r="R13" s="32" t="s">
        <v>84</v>
      </c>
      <c r="S13" s="33" t="s">
        <v>85</v>
      </c>
      <c r="T13" s="34"/>
      <c r="U13" s="34"/>
      <c r="V13" s="34"/>
      <c r="W13" s="35"/>
      <c r="X13" s="35"/>
      <c r="Y13" s="35"/>
      <c r="Z13" s="35"/>
      <c r="AA13" s="35"/>
      <c r="AB13" s="35"/>
      <c r="AC13" s="35"/>
      <c r="AD13" s="36"/>
      <c r="AE13" s="36"/>
      <c r="AF13" s="36"/>
      <c r="AG13" s="35"/>
      <c r="AH13" s="37"/>
      <c r="AI13" s="37"/>
      <c r="AJ13" s="37"/>
    </row>
    <row r="14" spans="1:36" ht="16" x14ac:dyDescent="0.2">
      <c r="A14" s="39">
        <v>1</v>
      </c>
      <c r="B14" s="40" t="s">
        <v>7</v>
      </c>
      <c r="C14" s="41" t="s">
        <v>7</v>
      </c>
      <c r="D14" s="41" t="s">
        <v>25</v>
      </c>
      <c r="E14" s="42">
        <v>100</v>
      </c>
      <c r="F14" s="41"/>
      <c r="G14" s="43" t="str">
        <f>'[1]100'!C43</f>
        <v>MANDATORY</v>
      </c>
      <c r="H14" s="44" t="s">
        <v>86</v>
      </c>
      <c r="I14" s="45" t="s">
        <v>19</v>
      </c>
      <c r="J14" s="46" t="s">
        <v>2</v>
      </c>
      <c r="K14" s="47" t="s">
        <v>41</v>
      </c>
      <c r="L14" s="48" t="s">
        <v>41</v>
      </c>
      <c r="M14" s="49">
        <v>0</v>
      </c>
      <c r="N14" s="47" t="s">
        <v>41</v>
      </c>
      <c r="O14" s="48" t="s">
        <v>41</v>
      </c>
      <c r="P14" s="49">
        <v>0</v>
      </c>
      <c r="Q14" s="50" t="s">
        <v>5</v>
      </c>
      <c r="R14" s="51" t="str">
        <f t="shared" ref="R14:R148" si="0">VLOOKUP(Q14,$AC$1:$AD$11,2,FALSE)</f>
        <v>Docking Expenses and General Services</v>
      </c>
      <c r="S14" s="52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</row>
    <row r="15" spans="1:36" ht="16" x14ac:dyDescent="0.2">
      <c r="A15" s="39">
        <v>2</v>
      </c>
      <c r="B15" s="40" t="s">
        <v>7</v>
      </c>
      <c r="C15" s="41" t="s">
        <v>7</v>
      </c>
      <c r="D15" s="41" t="s">
        <v>25</v>
      </c>
      <c r="E15" s="42">
        <v>110</v>
      </c>
      <c r="F15" s="41"/>
      <c r="G15" s="43" t="str">
        <f>'[1]110'!C222</f>
        <v>MANDATORY</v>
      </c>
      <c r="H15" s="44" t="s">
        <v>87</v>
      </c>
      <c r="I15" s="45" t="s">
        <v>19</v>
      </c>
      <c r="J15" s="46" t="s">
        <v>2</v>
      </c>
      <c r="K15" s="47" t="str">
        <f>'[1]110'!D220</f>
        <v>NA</v>
      </c>
      <c r="L15" s="48" t="str">
        <f>'[1]110'!C220</f>
        <v>N/A</v>
      </c>
      <c r="M15" s="49">
        <v>0</v>
      </c>
      <c r="N15" s="47" t="str">
        <f>'[1]110'!D221</f>
        <v>NA</v>
      </c>
      <c r="O15" s="48" t="str">
        <f>'[1]110'!C221</f>
        <v>N/A</v>
      </c>
      <c r="P15" s="49">
        <v>0</v>
      </c>
      <c r="Q15" s="50" t="s">
        <v>5</v>
      </c>
      <c r="R15" s="51" t="str">
        <f t="shared" si="0"/>
        <v>Docking Expenses and General Services</v>
      </c>
      <c r="S15" s="52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</row>
    <row r="16" spans="1:36" ht="32" x14ac:dyDescent="0.2">
      <c r="A16" s="39">
        <v>3</v>
      </c>
      <c r="B16" s="40" t="s">
        <v>7</v>
      </c>
      <c r="C16" s="41" t="s">
        <v>7</v>
      </c>
      <c r="D16" s="41" t="s">
        <v>0</v>
      </c>
      <c r="E16" s="55">
        <v>120</v>
      </c>
      <c r="F16" s="41"/>
      <c r="G16" s="43" t="str">
        <f>'[1]120'!D322</f>
        <v>MANDATORY</v>
      </c>
      <c r="H16" s="44" t="s">
        <v>88</v>
      </c>
      <c r="I16" s="45" t="s">
        <v>19</v>
      </c>
      <c r="J16" s="46" t="s">
        <v>2</v>
      </c>
      <c r="K16" s="47" t="str">
        <f>'[1]120'!E320</f>
        <v>N/A</v>
      </c>
      <c r="L16" s="48" t="str">
        <f>'[1]120'!D320</f>
        <v>N/A</v>
      </c>
      <c r="M16" s="49">
        <v>0</v>
      </c>
      <c r="N16" s="47" t="str">
        <f>'[1]120'!E321</f>
        <v>N/A</v>
      </c>
      <c r="O16" s="48" t="str">
        <f>'[1]120'!D321</f>
        <v>N/A</v>
      </c>
      <c r="P16" s="49">
        <v>0</v>
      </c>
      <c r="Q16" s="50" t="s">
        <v>5</v>
      </c>
      <c r="R16" s="51" t="str">
        <f t="shared" si="0"/>
        <v>Docking Expenses and General Services</v>
      </c>
      <c r="S16" s="52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</row>
    <row r="17" spans="1:36" ht="16" x14ac:dyDescent="0.2">
      <c r="A17" s="39">
        <v>4</v>
      </c>
      <c r="B17" s="40" t="s">
        <v>7</v>
      </c>
      <c r="C17" s="41" t="s">
        <v>7</v>
      </c>
      <c r="D17" s="41" t="s">
        <v>32</v>
      </c>
      <c r="E17" s="55">
        <v>200</v>
      </c>
      <c r="F17" s="41"/>
      <c r="G17" s="43" t="str">
        <f>'[1]200'!D67</f>
        <v>PENDING</v>
      </c>
      <c r="H17" s="44" t="s">
        <v>89</v>
      </c>
      <c r="I17" s="45" t="s">
        <v>19</v>
      </c>
      <c r="J17" s="46" t="s">
        <v>2</v>
      </c>
      <c r="K17" s="47" t="str">
        <f>'[1]200'!E65</f>
        <v>N/A</v>
      </c>
      <c r="L17" s="48" t="str">
        <f>'[1]200'!D65</f>
        <v>N/A</v>
      </c>
      <c r="M17" s="49">
        <v>0</v>
      </c>
      <c r="N17" s="47" t="str">
        <f>'[1]200'!E66</f>
        <v>N/A</v>
      </c>
      <c r="O17" s="48" t="str">
        <f>'[1]200'!D66</f>
        <v>N/A</v>
      </c>
      <c r="P17" s="49">
        <v>0</v>
      </c>
      <c r="Q17" s="50" t="s">
        <v>5</v>
      </c>
      <c r="R17" s="51" t="str">
        <f t="shared" si="0"/>
        <v>Docking Expenses and General Services</v>
      </c>
      <c r="S17" s="52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</row>
    <row r="18" spans="1:36" ht="32" x14ac:dyDescent="0.2">
      <c r="A18" s="39">
        <v>5</v>
      </c>
      <c r="B18" s="40" t="s">
        <v>7</v>
      </c>
      <c r="C18" s="41" t="s">
        <v>7</v>
      </c>
      <c r="D18" s="41" t="s">
        <v>25</v>
      </c>
      <c r="E18" s="55">
        <v>210</v>
      </c>
      <c r="F18" s="41"/>
      <c r="G18" s="43" t="str">
        <f>'[1]210'!D52</f>
        <v>PENDING</v>
      </c>
      <c r="H18" s="44" t="s">
        <v>90</v>
      </c>
      <c r="I18" s="45" t="s">
        <v>10</v>
      </c>
      <c r="J18" s="46" t="s">
        <v>39</v>
      </c>
      <c r="K18" s="47" t="str">
        <f>'[1]210'!E50</f>
        <v>N/A</v>
      </c>
      <c r="L18" s="48" t="str">
        <f>'[1]210'!D50</f>
        <v>N/A</v>
      </c>
      <c r="M18" s="49">
        <v>0</v>
      </c>
      <c r="N18" s="47" t="str">
        <f>'[1]210'!E51</f>
        <v>##</v>
      </c>
      <c r="O18" s="48" t="str">
        <f>'[1]210'!D51</f>
        <v>PENDING APPROVAL</v>
      </c>
      <c r="P18" s="49">
        <v>0</v>
      </c>
      <c r="Q18" s="50" t="s">
        <v>14</v>
      </c>
      <c r="R18" s="51" t="str">
        <f t="shared" si="0"/>
        <v>Docking Owners Work</v>
      </c>
      <c r="S18" s="52"/>
    </row>
    <row r="19" spans="1:36" ht="16" x14ac:dyDescent="0.2">
      <c r="A19" s="39">
        <v>6</v>
      </c>
      <c r="B19" s="40" t="s">
        <v>7</v>
      </c>
      <c r="C19" s="41" t="s">
        <v>7</v>
      </c>
      <c r="D19" s="41" t="s">
        <v>32</v>
      </c>
      <c r="E19" s="55">
        <v>220</v>
      </c>
      <c r="F19" s="41"/>
      <c r="G19" s="43" t="str">
        <f>'[1]220'!D50</f>
        <v>PENDING</v>
      </c>
      <c r="H19" s="44" t="s">
        <v>91</v>
      </c>
      <c r="I19" s="45" t="s">
        <v>19</v>
      </c>
      <c r="J19" s="46" t="s">
        <v>2</v>
      </c>
      <c r="K19" s="47" t="str">
        <f>'[1]220'!E48</f>
        <v>N/A</v>
      </c>
      <c r="L19" s="48" t="str">
        <f>'[1]220'!D48</f>
        <v>N/A</v>
      </c>
      <c r="M19" s="49">
        <v>0</v>
      </c>
      <c r="N19" s="47" t="str">
        <f>'[1]220'!E49</f>
        <v>N/A</v>
      </c>
      <c r="O19" s="48" t="str">
        <f>'[1]220'!D49</f>
        <v>N/A</v>
      </c>
      <c r="P19" s="49">
        <v>0</v>
      </c>
      <c r="Q19" s="50" t="s">
        <v>23</v>
      </c>
      <c r="R19" s="51" t="str">
        <f t="shared" si="0"/>
        <v>Docking Paint</v>
      </c>
      <c r="S19" s="52"/>
    </row>
    <row r="20" spans="1:36" ht="16" x14ac:dyDescent="0.2">
      <c r="A20" s="39">
        <v>7</v>
      </c>
      <c r="B20" s="40" t="s">
        <v>7</v>
      </c>
      <c r="C20" s="41" t="s">
        <v>7</v>
      </c>
      <c r="D20" s="41" t="s">
        <v>0</v>
      </c>
      <c r="E20" s="42">
        <v>405</v>
      </c>
      <c r="F20" s="41"/>
      <c r="G20" s="43" t="str">
        <f>'[1]405'!D112</f>
        <v>PENDING</v>
      </c>
      <c r="H20" s="44" t="s">
        <v>92</v>
      </c>
      <c r="I20" s="45" t="s">
        <v>19</v>
      </c>
      <c r="J20" s="46" t="s">
        <v>2</v>
      </c>
      <c r="K20" s="47" t="str">
        <f>'[1]405'!E110</f>
        <v>N/A</v>
      </c>
      <c r="L20" s="48" t="str">
        <f>'[1]405'!D110</f>
        <v>N/A</v>
      </c>
      <c r="M20" s="49">
        <v>0</v>
      </c>
      <c r="N20" s="47" t="str">
        <f>'[1]405'!E111</f>
        <v>N/A</v>
      </c>
      <c r="O20" s="48" t="str">
        <f>'[1]405'!D111</f>
        <v>N/A</v>
      </c>
      <c r="P20" s="49">
        <v>0</v>
      </c>
      <c r="Q20" s="50" t="s">
        <v>30</v>
      </c>
      <c r="R20" s="51" t="str">
        <f t="shared" si="0"/>
        <v>Docking Anodes</v>
      </c>
      <c r="S20" s="52"/>
    </row>
    <row r="21" spans="1:36" ht="16" x14ac:dyDescent="0.2">
      <c r="A21" s="39">
        <v>8</v>
      </c>
      <c r="B21" s="40" t="s">
        <v>7</v>
      </c>
      <c r="C21" s="41" t="s">
        <v>7</v>
      </c>
      <c r="D21" s="41" t="s">
        <v>0</v>
      </c>
      <c r="E21" s="55">
        <v>406</v>
      </c>
      <c r="F21" s="41"/>
      <c r="G21" s="43" t="str">
        <f>'[1]406'!D50</f>
        <v>PENDING</v>
      </c>
      <c r="H21" s="44" t="s">
        <v>93</v>
      </c>
      <c r="I21" s="45" t="s">
        <v>19</v>
      </c>
      <c r="J21" s="46" t="s">
        <v>2</v>
      </c>
      <c r="K21" s="47" t="str">
        <f>'[1]406'!E48</f>
        <v>N/A</v>
      </c>
      <c r="L21" s="48" t="str">
        <f>'[1]406'!D48</f>
        <v>N/A</v>
      </c>
      <c r="M21" s="49">
        <v>0</v>
      </c>
      <c r="N21" s="47" t="str">
        <f>'[1]406'!E49</f>
        <v>N/A</v>
      </c>
      <c r="O21" s="48" t="str">
        <f>'[1]406'!D49</f>
        <v>N/A</v>
      </c>
      <c r="P21" s="49">
        <v>0</v>
      </c>
      <c r="Q21" s="50" t="s">
        <v>37</v>
      </c>
      <c r="R21" s="51" t="str">
        <f t="shared" si="0"/>
        <v>Docking seals and Packing</v>
      </c>
      <c r="S21" s="52"/>
    </row>
    <row r="22" spans="1:36" ht="16" x14ac:dyDescent="0.2">
      <c r="A22" s="39">
        <v>9</v>
      </c>
      <c r="B22" s="41" t="s">
        <v>16</v>
      </c>
      <c r="C22" s="41" t="s">
        <v>16</v>
      </c>
      <c r="D22" s="41" t="s">
        <v>0</v>
      </c>
      <c r="E22" s="42">
        <v>411</v>
      </c>
      <c r="F22" s="41"/>
      <c r="G22" s="43" t="str">
        <f>'[1]411'!D50</f>
        <v>CANCELLED</v>
      </c>
      <c r="H22" s="56" t="s">
        <v>94</v>
      </c>
      <c r="I22" s="45" t="s">
        <v>19</v>
      </c>
      <c r="J22" s="46" t="s">
        <v>11</v>
      </c>
      <c r="K22" s="47" t="str">
        <f>'[1]220'!E48</f>
        <v>N/A</v>
      </c>
      <c r="L22" s="48" t="str">
        <f>'[1]411'!D48</f>
        <v>N/A</v>
      </c>
      <c r="M22" s="49">
        <v>0</v>
      </c>
      <c r="N22" s="47" t="str">
        <f>'[1]411'!E49</f>
        <v>N/A</v>
      </c>
      <c r="O22" s="48" t="str">
        <f>'[1]411'!D49</f>
        <v>N/A</v>
      </c>
      <c r="P22" s="49">
        <v>0</v>
      </c>
      <c r="Q22" s="50" t="s">
        <v>42</v>
      </c>
      <c r="R22" s="51" t="str">
        <f t="shared" si="0"/>
        <v>Docking Agency Disbursements</v>
      </c>
      <c r="S22" s="52"/>
    </row>
    <row r="23" spans="1:36" ht="16" x14ac:dyDescent="0.2">
      <c r="A23" s="39">
        <v>10</v>
      </c>
      <c r="B23" s="40" t="s">
        <v>7</v>
      </c>
      <c r="C23" s="41" t="s">
        <v>7</v>
      </c>
      <c r="D23" s="41" t="s">
        <v>0</v>
      </c>
      <c r="E23" s="42">
        <v>415</v>
      </c>
      <c r="F23" s="41"/>
      <c r="G23" s="43" t="str">
        <f>'[1]415'!D58</f>
        <v>PENDING</v>
      </c>
      <c r="H23" s="44" t="s">
        <v>95</v>
      </c>
      <c r="I23" s="45" t="s">
        <v>19</v>
      </c>
      <c r="J23" s="46" t="s">
        <v>2</v>
      </c>
      <c r="K23" s="47" t="str">
        <f>'[1]415'!E56</f>
        <v>##</v>
      </c>
      <c r="L23" s="48" t="str">
        <f>'[1]415'!D56</f>
        <v>PENDING APPROVAL</v>
      </c>
      <c r="M23" s="49">
        <v>0</v>
      </c>
      <c r="N23" s="47" t="str">
        <f>'[1]415'!E57</f>
        <v>N/A</v>
      </c>
      <c r="O23" s="48" t="str">
        <f>'[1]415'!D57</f>
        <v>N/A</v>
      </c>
      <c r="P23" s="49">
        <v>0</v>
      </c>
      <c r="Q23" s="50" t="s">
        <v>14</v>
      </c>
      <c r="R23" s="51" t="str">
        <f>VLOOKUP(Q23,$AC$1:$AD$11,2,FALSE)</f>
        <v>Docking Owners Work</v>
      </c>
      <c r="S23" s="52"/>
    </row>
    <row r="24" spans="1:36" ht="16" x14ac:dyDescent="0.2">
      <c r="A24" s="39">
        <v>11</v>
      </c>
      <c r="B24" s="40" t="s">
        <v>7</v>
      </c>
      <c r="C24" s="41" t="s">
        <v>7</v>
      </c>
      <c r="D24" s="41" t="s">
        <v>0</v>
      </c>
      <c r="E24" s="42">
        <v>416</v>
      </c>
      <c r="F24" s="41"/>
      <c r="G24" s="43" t="str">
        <f>'[1]416'!D50</f>
        <v>PENDING</v>
      </c>
      <c r="H24" s="44" t="s">
        <v>96</v>
      </c>
      <c r="I24" s="45" t="s">
        <v>19</v>
      </c>
      <c r="J24" s="46" t="s">
        <v>2</v>
      </c>
      <c r="K24" s="47" t="str">
        <f>'[1]416'!E48</f>
        <v>N/A</v>
      </c>
      <c r="L24" s="48" t="str">
        <f>'[1]416'!D48</f>
        <v>N/A</v>
      </c>
      <c r="M24" s="49">
        <v>0</v>
      </c>
      <c r="N24" s="47" t="str">
        <f>'[1]416'!E49</f>
        <v>N/A</v>
      </c>
      <c r="O24" s="48" t="str">
        <f>'[1]416'!D49</f>
        <v>N/A</v>
      </c>
      <c r="P24" s="49">
        <v>0</v>
      </c>
      <c r="Q24" s="50" t="s">
        <v>14</v>
      </c>
      <c r="R24" s="51" t="str">
        <f>VLOOKUP(Q24,$AC$1:$AD$11,2,FALSE)</f>
        <v>Docking Owners Work</v>
      </c>
      <c r="S24" s="52"/>
    </row>
    <row r="25" spans="1:36" ht="16" x14ac:dyDescent="0.2">
      <c r="A25" s="39">
        <v>12</v>
      </c>
      <c r="B25" s="40" t="s">
        <v>7</v>
      </c>
      <c r="C25" s="41" t="s">
        <v>7</v>
      </c>
      <c r="D25" s="41" t="s">
        <v>0</v>
      </c>
      <c r="E25" s="55">
        <v>420</v>
      </c>
      <c r="F25" s="41"/>
      <c r="G25" s="43" t="str">
        <f>'[1]420'!D57</f>
        <v>PENDING</v>
      </c>
      <c r="H25" s="44" t="s">
        <v>97</v>
      </c>
      <c r="I25" s="45" t="s">
        <v>19</v>
      </c>
      <c r="J25" s="46" t="s">
        <v>2</v>
      </c>
      <c r="K25" s="47" t="str">
        <f>'[1]420'!E55</f>
        <v>N/A</v>
      </c>
      <c r="L25" s="48" t="str">
        <f>'[1]420'!D55</f>
        <v>N/A</v>
      </c>
      <c r="M25" s="49">
        <v>0</v>
      </c>
      <c r="N25" s="47" t="str">
        <f>'[1]420'!E56</f>
        <v>N/A</v>
      </c>
      <c r="O25" s="48" t="str">
        <f>'[1]420'!D56</f>
        <v>N/A</v>
      </c>
      <c r="P25" s="49">
        <v>0</v>
      </c>
      <c r="Q25" s="50" t="s">
        <v>46</v>
      </c>
      <c r="R25" s="51" t="str">
        <f t="shared" si="0"/>
        <v>Docking Service Engineer's Cost</v>
      </c>
      <c r="S25" s="52"/>
    </row>
    <row r="26" spans="1:36" ht="16" x14ac:dyDescent="0.2">
      <c r="A26" s="39">
        <v>13</v>
      </c>
      <c r="B26" s="40" t="s">
        <v>7</v>
      </c>
      <c r="C26" s="41" t="s">
        <v>7</v>
      </c>
      <c r="D26" s="41" t="s">
        <v>0</v>
      </c>
      <c r="E26" s="55">
        <v>425</v>
      </c>
      <c r="F26" s="41"/>
      <c r="G26" s="43" t="str">
        <f>'[1]425'!D55</f>
        <v>PENDING</v>
      </c>
      <c r="H26" s="44" t="s">
        <v>98</v>
      </c>
      <c r="I26" s="45" t="s">
        <v>19</v>
      </c>
      <c r="J26" s="46" t="s">
        <v>2</v>
      </c>
      <c r="K26" s="47" t="str">
        <f>'[1]425'!E53</f>
        <v>N/A</v>
      </c>
      <c r="L26" s="48" t="str">
        <f>'[1]425'!D53</f>
        <v>N/A</v>
      </c>
      <c r="M26" s="49">
        <v>0</v>
      </c>
      <c r="N26" s="47" t="str">
        <f>'[1]425'!E54</f>
        <v>N/A</v>
      </c>
      <c r="O26" s="48" t="str">
        <f>'[1]425'!D54</f>
        <v>N/A</v>
      </c>
      <c r="P26" s="49">
        <v>0</v>
      </c>
      <c r="Q26" s="50" t="s">
        <v>50</v>
      </c>
      <c r="R26" s="51" t="str">
        <f t="shared" si="0"/>
        <v>Docking Slop Disposal</v>
      </c>
      <c r="S26" s="52"/>
    </row>
    <row r="27" spans="1:36" ht="16" x14ac:dyDescent="0.2">
      <c r="A27" s="39">
        <v>14</v>
      </c>
      <c r="B27" s="41" t="s">
        <v>16</v>
      </c>
      <c r="C27" s="41" t="s">
        <v>7</v>
      </c>
      <c r="D27" s="41" t="s">
        <v>9</v>
      </c>
      <c r="E27" s="55">
        <v>435</v>
      </c>
      <c r="F27" s="41"/>
      <c r="G27" s="43" t="str">
        <f>'[1]435'!D58</f>
        <v>PENDING</v>
      </c>
      <c r="H27" s="56" t="s">
        <v>99</v>
      </c>
      <c r="I27" s="45" t="s">
        <v>19</v>
      </c>
      <c r="J27" s="46" t="s">
        <v>2</v>
      </c>
      <c r="K27" s="47" t="str">
        <f>'[1]435'!E56</f>
        <v>N/A</v>
      </c>
      <c r="L27" s="48" t="str">
        <f>'[1]435'!D56</f>
        <v>N/A</v>
      </c>
      <c r="M27" s="49">
        <v>0</v>
      </c>
      <c r="N27" s="47" t="str">
        <f>'[1]435'!E57</f>
        <v>N/A</v>
      </c>
      <c r="O27" s="48" t="str">
        <f>'[1]435'!D57</f>
        <v>N/A</v>
      </c>
      <c r="P27" s="49">
        <v>0</v>
      </c>
      <c r="Q27" s="50" t="s">
        <v>56</v>
      </c>
      <c r="R27" s="51" t="str">
        <f>VLOOKUP(Q27,$AC$1:$AD$11,2,FALSE)</f>
        <v>Docking Class/Survey Fee</v>
      </c>
      <c r="S27" s="52"/>
    </row>
    <row r="28" spans="1:36" ht="16" x14ac:dyDescent="0.2">
      <c r="A28" s="39">
        <v>15</v>
      </c>
      <c r="B28" s="41" t="s">
        <v>16</v>
      </c>
      <c r="C28" s="41" t="s">
        <v>16</v>
      </c>
      <c r="D28" s="41" t="s">
        <v>0</v>
      </c>
      <c r="E28" s="55">
        <v>436</v>
      </c>
      <c r="F28" s="41"/>
      <c r="G28" s="43" t="str">
        <f>'[1]436'!D58</f>
        <v>CANCELLED</v>
      </c>
      <c r="H28" s="56" t="s">
        <v>100</v>
      </c>
      <c r="I28" s="45" t="s">
        <v>19</v>
      </c>
      <c r="J28" s="46" t="s">
        <v>34</v>
      </c>
      <c r="K28" s="47" t="str">
        <f>'[1]436'!E56</f>
        <v>N/A</v>
      </c>
      <c r="L28" s="48" t="str">
        <f>'[1]436'!D56</f>
        <v>N/A</v>
      </c>
      <c r="M28" s="49">
        <v>0</v>
      </c>
      <c r="N28" s="47" t="str">
        <f>'[1]436'!E57</f>
        <v>N/A</v>
      </c>
      <c r="O28" s="48" t="str">
        <f>'[1]436'!D57</f>
        <v>N/A</v>
      </c>
      <c r="P28" s="49">
        <v>0</v>
      </c>
      <c r="Q28" s="50" t="s">
        <v>59</v>
      </c>
      <c r="R28" s="51" t="str">
        <f>VLOOKUP(Q28,$AC$1:$AD$11,2,FALSE)</f>
        <v>Docking Spares/Stores</v>
      </c>
      <c r="S28" s="52"/>
    </row>
    <row r="29" spans="1:36" ht="16" x14ac:dyDescent="0.2">
      <c r="A29" s="39">
        <v>16</v>
      </c>
      <c r="B29" s="40" t="s">
        <v>7</v>
      </c>
      <c r="C29" s="41" t="s">
        <v>7</v>
      </c>
      <c r="D29" s="41" t="s">
        <v>32</v>
      </c>
      <c r="E29" s="55">
        <v>440</v>
      </c>
      <c r="F29" s="41"/>
      <c r="G29" s="43" t="str">
        <f>'[1]440'!D52</f>
        <v>PENDING</v>
      </c>
      <c r="H29" s="44" t="s">
        <v>101</v>
      </c>
      <c r="I29" s="45" t="s">
        <v>19</v>
      </c>
      <c r="J29" s="46" t="s">
        <v>2</v>
      </c>
      <c r="K29" s="47" t="str">
        <f>'[1]440'!E50</f>
        <v>N/A</v>
      </c>
      <c r="L29" s="48" t="str">
        <f>'[1]440'!D50</f>
        <v>N/A</v>
      </c>
      <c r="M29" s="49">
        <v>0</v>
      </c>
      <c r="N29" s="47" t="str">
        <f>'[1]440'!E51</f>
        <v>N/A</v>
      </c>
      <c r="O29" s="48" t="str">
        <f>'[1]440'!D51</f>
        <v>N/A</v>
      </c>
      <c r="P29" s="49">
        <v>0</v>
      </c>
      <c r="Q29" s="50" t="s">
        <v>63</v>
      </c>
      <c r="R29" s="51" t="str">
        <f t="shared" si="0"/>
        <v>Docking Deviation</v>
      </c>
      <c r="S29" s="52"/>
    </row>
    <row r="30" spans="1:36" ht="16" x14ac:dyDescent="0.2">
      <c r="A30" s="39">
        <v>17</v>
      </c>
      <c r="B30" s="40" t="s">
        <v>7</v>
      </c>
      <c r="C30" s="41" t="s">
        <v>7</v>
      </c>
      <c r="D30" s="41" t="s">
        <v>0</v>
      </c>
      <c r="E30" s="42">
        <v>445</v>
      </c>
      <c r="F30" s="41"/>
      <c r="G30" s="43" t="str">
        <f>'[1]445'!D53</f>
        <v>PENDING</v>
      </c>
      <c r="H30" s="44" t="s">
        <v>102</v>
      </c>
      <c r="I30" s="45" t="s">
        <v>19</v>
      </c>
      <c r="J30" s="46" t="s">
        <v>2</v>
      </c>
      <c r="K30" s="47" t="str">
        <f>'[1]445'!E51</f>
        <v>N/A</v>
      </c>
      <c r="L30" s="48" t="str">
        <f>'[1]445'!D51</f>
        <v>N/A</v>
      </c>
      <c r="M30" s="49">
        <v>0</v>
      </c>
      <c r="N30" s="47" t="str">
        <f>'[1]445'!E52</f>
        <v>N/A</v>
      </c>
      <c r="O30" s="48" t="str">
        <f>'[1]445'!D52</f>
        <v>N/A</v>
      </c>
      <c r="P30" s="49">
        <v>0</v>
      </c>
      <c r="Q30" s="50" t="s">
        <v>59</v>
      </c>
      <c r="R30" s="51" t="str">
        <f t="shared" si="0"/>
        <v>Docking Spares/Stores</v>
      </c>
      <c r="S30" s="52"/>
    </row>
    <row r="31" spans="1:36" ht="16" x14ac:dyDescent="0.2">
      <c r="A31" s="39">
        <v>18</v>
      </c>
      <c r="B31" s="40" t="s">
        <v>7</v>
      </c>
      <c r="C31" s="41" t="s">
        <v>7</v>
      </c>
      <c r="D31" s="41" t="s">
        <v>32</v>
      </c>
      <c r="E31" s="55">
        <v>450</v>
      </c>
      <c r="F31" s="41"/>
      <c r="G31" s="43" t="str">
        <f>'[1]450'!D50</f>
        <v>PENDING</v>
      </c>
      <c r="H31" s="44" t="s">
        <v>103</v>
      </c>
      <c r="I31" s="45" t="s">
        <v>19</v>
      </c>
      <c r="J31" s="46" t="s">
        <v>2</v>
      </c>
      <c r="K31" s="47" t="str">
        <f>'[1]450'!E48</f>
        <v>N/A</v>
      </c>
      <c r="L31" s="48" t="str">
        <f>'[1]450'!D48</f>
        <v>N/A</v>
      </c>
      <c r="M31" s="49">
        <v>0</v>
      </c>
      <c r="N31" s="47" t="str">
        <f>'[1]450'!E49</f>
        <v>N/A</v>
      </c>
      <c r="O31" s="48" t="str">
        <f>'[1]450'!D49</f>
        <v>N/A</v>
      </c>
      <c r="P31" s="49">
        <v>0</v>
      </c>
      <c r="Q31" s="50"/>
      <c r="R31" s="51" t="e">
        <f t="shared" si="0"/>
        <v>#N/A</v>
      </c>
      <c r="S31" s="52"/>
    </row>
    <row r="32" spans="1:36" ht="16" x14ac:dyDescent="0.2">
      <c r="A32" s="39">
        <v>19</v>
      </c>
      <c r="B32" s="41" t="s">
        <v>7</v>
      </c>
      <c r="C32" s="41" t="s">
        <v>7</v>
      </c>
      <c r="D32" s="41" t="s">
        <v>0</v>
      </c>
      <c r="E32" s="55">
        <v>505</v>
      </c>
      <c r="F32" s="41"/>
      <c r="G32" s="43" t="str">
        <f>'[1]505'!D74</f>
        <v>PENDING</v>
      </c>
      <c r="H32" s="56" t="s">
        <v>104</v>
      </c>
      <c r="I32" s="45" t="s">
        <v>19</v>
      </c>
      <c r="J32" s="46" t="s">
        <v>2</v>
      </c>
      <c r="K32" s="47" t="str">
        <f>'[1]505'!E72</f>
        <v>N/A</v>
      </c>
      <c r="L32" s="48" t="str">
        <f>'[1]505'!D72</f>
        <v>N/A</v>
      </c>
      <c r="M32" s="49">
        <v>0</v>
      </c>
      <c r="N32" s="47" t="str">
        <f>'[1]505'!E73</f>
        <v>N/A</v>
      </c>
      <c r="O32" s="48" t="str">
        <f>'[1]505'!D73</f>
        <v>N/A</v>
      </c>
      <c r="P32" s="49">
        <v>0</v>
      </c>
      <c r="Q32" s="50"/>
      <c r="R32" s="51" t="e">
        <f t="shared" si="0"/>
        <v>#N/A</v>
      </c>
      <c r="S32" s="52"/>
    </row>
    <row r="33" spans="1:19" ht="16" x14ac:dyDescent="0.2">
      <c r="A33" s="39">
        <v>20</v>
      </c>
      <c r="B33" s="40" t="s">
        <v>7</v>
      </c>
      <c r="C33" s="41" t="s">
        <v>7</v>
      </c>
      <c r="D33" s="41" t="s">
        <v>0</v>
      </c>
      <c r="E33" s="42" t="s">
        <v>105</v>
      </c>
      <c r="F33" s="41"/>
      <c r="G33" s="43" t="str">
        <f>'[1]575 (1)'!D117</f>
        <v>PENDING</v>
      </c>
      <c r="H33" s="44" t="s">
        <v>106</v>
      </c>
      <c r="I33" s="45" t="s">
        <v>19</v>
      </c>
      <c r="J33" s="46" t="s">
        <v>2</v>
      </c>
      <c r="K33" s="47" t="str">
        <f>'[1]575 (1)'!E115</f>
        <v>##</v>
      </c>
      <c r="L33" s="48" t="str">
        <f>'[1]575 (1)'!D115</f>
        <v>PENDING APPROVAL</v>
      </c>
      <c r="M33" s="49">
        <v>0</v>
      </c>
      <c r="N33" s="47" t="str">
        <f>'[1]575 (1)'!E116</f>
        <v>N/A</v>
      </c>
      <c r="O33" s="48" t="str">
        <f>'[1]575 (1)'!D116</f>
        <v>N/A</v>
      </c>
      <c r="P33" s="49">
        <v>0</v>
      </c>
      <c r="Q33" s="50"/>
      <c r="R33" s="51" t="e">
        <f>VLOOKUP(Q33,$AC$1:$AD$11,2,FALSE)</f>
        <v>#N/A</v>
      </c>
      <c r="S33" s="52"/>
    </row>
    <row r="34" spans="1:19" ht="32" x14ac:dyDescent="0.2">
      <c r="A34" s="39">
        <v>21</v>
      </c>
      <c r="B34" s="41" t="s">
        <v>16</v>
      </c>
      <c r="C34" s="41" t="s">
        <v>16</v>
      </c>
      <c r="D34" s="41" t="s">
        <v>0</v>
      </c>
      <c r="E34" s="42" t="s">
        <v>107</v>
      </c>
      <c r="F34" s="41"/>
      <c r="G34" s="43" t="str">
        <f>'[1]575 (2)'!D117</f>
        <v>PENDING</v>
      </c>
      <c r="H34" s="56" t="s">
        <v>108</v>
      </c>
      <c r="I34" s="45" t="s">
        <v>19</v>
      </c>
      <c r="J34" s="46" t="s">
        <v>44</v>
      </c>
      <c r="K34" s="47" t="str">
        <f>'[1]575 (2)'!E115</f>
        <v>##</v>
      </c>
      <c r="L34" s="48" t="str">
        <f>'[1]575 (2)'!D115</f>
        <v>PENDING APPROVAL</v>
      </c>
      <c r="M34" s="49">
        <v>0</v>
      </c>
      <c r="N34" s="47" t="str">
        <f>'[1]575 (2)'!E116</f>
        <v>N/A</v>
      </c>
      <c r="O34" s="48" t="str">
        <f>'[1]575 (2)'!D116</f>
        <v>N/A</v>
      </c>
      <c r="P34" s="49">
        <v>0</v>
      </c>
      <c r="Q34" s="50"/>
      <c r="R34" s="51" t="e">
        <f>VLOOKUP(Q34,$AC$1:$AD$11,2,FALSE)</f>
        <v>#N/A</v>
      </c>
      <c r="S34" s="52"/>
    </row>
    <row r="35" spans="1:19" ht="16" x14ac:dyDescent="0.2">
      <c r="A35" s="39">
        <v>22</v>
      </c>
      <c r="B35" s="40" t="s">
        <v>7</v>
      </c>
      <c r="C35" s="41" t="s">
        <v>7</v>
      </c>
      <c r="D35" s="41" t="s">
        <v>0</v>
      </c>
      <c r="E35" s="42">
        <v>605</v>
      </c>
      <c r="F35" s="41"/>
      <c r="G35" s="43" t="str">
        <f>'[1]605'!D49</f>
        <v>PENDING</v>
      </c>
      <c r="H35" s="44" t="s">
        <v>109</v>
      </c>
      <c r="I35" s="45" t="s">
        <v>19</v>
      </c>
      <c r="J35" s="46" t="s">
        <v>27</v>
      </c>
      <c r="K35" s="47" t="str">
        <f>'[1]605'!E47</f>
        <v>##</v>
      </c>
      <c r="L35" s="48" t="str">
        <f>'[1]605'!D47</f>
        <v>PENDING APPROVAL</v>
      </c>
      <c r="M35" s="49">
        <v>0</v>
      </c>
      <c r="N35" s="47" t="str">
        <f>'[1]605'!E48</f>
        <v>N/A</v>
      </c>
      <c r="O35" s="48" t="str">
        <f>'[1]605'!D48</f>
        <v>N/A</v>
      </c>
      <c r="P35" s="49">
        <v>0</v>
      </c>
      <c r="Q35" s="50"/>
      <c r="R35" s="51" t="e">
        <f t="shared" si="0"/>
        <v>#N/A</v>
      </c>
      <c r="S35" s="52"/>
    </row>
    <row r="36" spans="1:19" ht="32" x14ac:dyDescent="0.2">
      <c r="A36" s="39">
        <v>23</v>
      </c>
      <c r="B36" s="40" t="s">
        <v>7</v>
      </c>
      <c r="C36" s="41" t="s">
        <v>7</v>
      </c>
      <c r="D36" s="41" t="s">
        <v>0</v>
      </c>
      <c r="E36" s="42">
        <v>610</v>
      </c>
      <c r="F36" s="41"/>
      <c r="G36" s="43" t="str">
        <f>'[1]610'!D52</f>
        <v>PENDING</v>
      </c>
      <c r="H36" s="44" t="s">
        <v>110</v>
      </c>
      <c r="I36" s="45" t="s">
        <v>1</v>
      </c>
      <c r="J36" s="46" t="s">
        <v>11</v>
      </c>
      <c r="K36" s="47" t="str">
        <f>'[1]610'!E50</f>
        <v>##</v>
      </c>
      <c r="L36" s="48" t="str">
        <f>'[1]610'!D50</f>
        <v>PENDING APPROVAL</v>
      </c>
      <c r="M36" s="49">
        <v>0</v>
      </c>
      <c r="N36" s="47" t="str">
        <f>'[1]610'!E51</f>
        <v>N/A</v>
      </c>
      <c r="O36" s="48" t="str">
        <f>'[1]610'!D51</f>
        <v>N/A</v>
      </c>
      <c r="P36" s="49">
        <v>0</v>
      </c>
      <c r="Q36" s="50"/>
      <c r="R36" s="51" t="e">
        <f t="shared" si="0"/>
        <v>#N/A</v>
      </c>
      <c r="S36" s="52"/>
    </row>
    <row r="37" spans="1:19" ht="32" x14ac:dyDescent="0.2">
      <c r="A37" s="39">
        <v>24</v>
      </c>
      <c r="B37" s="40" t="s">
        <v>7</v>
      </c>
      <c r="C37" s="41" t="s">
        <v>16</v>
      </c>
      <c r="D37" s="41" t="s">
        <v>0</v>
      </c>
      <c r="E37" s="42" t="s">
        <v>111</v>
      </c>
      <c r="F37" s="41"/>
      <c r="G37" s="43" t="str">
        <f>'[1]615 (1)'!D52</f>
        <v>PENDING</v>
      </c>
      <c r="H37" s="44" t="s">
        <v>112</v>
      </c>
      <c r="I37" s="45" t="s">
        <v>1</v>
      </c>
      <c r="J37" s="46" t="s">
        <v>27</v>
      </c>
      <c r="K37" s="47" t="str">
        <f>'[1]615 (1)'!E50</f>
        <v>N/A</v>
      </c>
      <c r="L37" s="48" t="str">
        <f>'[1]615 (1)'!D50</f>
        <v>N/A</v>
      </c>
      <c r="M37" s="49">
        <v>0</v>
      </c>
      <c r="N37" s="47" t="str">
        <f>'[1]615 (1)'!E51</f>
        <v>N/A</v>
      </c>
      <c r="O37" s="48" t="str">
        <f>'[1]615 (1)'!D51</f>
        <v>N/A</v>
      </c>
      <c r="P37" s="49">
        <v>0</v>
      </c>
      <c r="Q37" s="50"/>
      <c r="R37" s="51" t="e">
        <f t="shared" si="0"/>
        <v>#N/A</v>
      </c>
      <c r="S37" s="52"/>
    </row>
    <row r="38" spans="1:19" ht="32" x14ac:dyDescent="0.2">
      <c r="A38" s="39">
        <v>25</v>
      </c>
      <c r="B38" s="40" t="s">
        <v>7</v>
      </c>
      <c r="C38" s="41" t="s">
        <v>7</v>
      </c>
      <c r="D38" s="41" t="s">
        <v>0</v>
      </c>
      <c r="E38" s="42" t="s">
        <v>113</v>
      </c>
      <c r="F38" s="41"/>
      <c r="G38" s="43" t="str">
        <f>'[1]615 (1)'!D52</f>
        <v>PENDING</v>
      </c>
      <c r="H38" s="44" t="s">
        <v>114</v>
      </c>
      <c r="I38" s="45" t="s">
        <v>1</v>
      </c>
      <c r="J38" s="46" t="s">
        <v>27</v>
      </c>
      <c r="K38" s="47" t="str">
        <f>'[1]615 (2)'!E50</f>
        <v>N/A</v>
      </c>
      <c r="L38" s="48" t="str">
        <f>'[1]615 (2)'!D50</f>
        <v>N/A</v>
      </c>
      <c r="M38" s="49">
        <v>0</v>
      </c>
      <c r="N38" s="47" t="str">
        <f>'[1]615 (2)'!E51</f>
        <v>N/A</v>
      </c>
      <c r="O38" s="48" t="str">
        <f>'[1]615 (2)'!D51</f>
        <v>N/A</v>
      </c>
      <c r="P38" s="49">
        <v>0</v>
      </c>
      <c r="Q38" s="50"/>
      <c r="R38" s="51" t="e">
        <f t="shared" si="0"/>
        <v>#N/A</v>
      </c>
      <c r="S38" s="52"/>
    </row>
    <row r="39" spans="1:19" ht="32" x14ac:dyDescent="0.2">
      <c r="A39" s="39">
        <v>26</v>
      </c>
      <c r="B39" s="40" t="s">
        <v>7</v>
      </c>
      <c r="C39" s="41" t="s">
        <v>7</v>
      </c>
      <c r="D39" s="41" t="s">
        <v>0</v>
      </c>
      <c r="E39" s="42" t="s">
        <v>115</v>
      </c>
      <c r="F39" s="41"/>
      <c r="G39" s="43" t="str">
        <f>'[1]615 (1)'!D52</f>
        <v>PENDING</v>
      </c>
      <c r="H39" s="44" t="s">
        <v>116</v>
      </c>
      <c r="I39" s="45" t="s">
        <v>1</v>
      </c>
      <c r="J39" s="46" t="s">
        <v>11</v>
      </c>
      <c r="K39" s="47" t="str">
        <f>'[1]615 (3)'!E50</f>
        <v>N/A</v>
      </c>
      <c r="L39" s="48" t="str">
        <f>'[1]615 (3)'!D50</f>
        <v>N/A</v>
      </c>
      <c r="M39" s="49">
        <v>0</v>
      </c>
      <c r="N39" s="47" t="str">
        <f>'[1]615 (3)'!E51</f>
        <v>N/A</v>
      </c>
      <c r="O39" s="48" t="str">
        <f>'[1]615 (3)'!D51</f>
        <v>N/A</v>
      </c>
      <c r="P39" s="49">
        <v>0</v>
      </c>
      <c r="Q39" s="50"/>
      <c r="R39" s="51" t="e">
        <f t="shared" si="0"/>
        <v>#N/A</v>
      </c>
      <c r="S39" s="52"/>
    </row>
    <row r="40" spans="1:19" ht="32" x14ac:dyDescent="0.2">
      <c r="A40" s="39">
        <v>27</v>
      </c>
      <c r="B40" s="40" t="s">
        <v>7</v>
      </c>
      <c r="C40" s="41" t="s">
        <v>7</v>
      </c>
      <c r="D40" s="41" t="s">
        <v>0</v>
      </c>
      <c r="E40" s="42" t="s">
        <v>117</v>
      </c>
      <c r="F40" s="41"/>
      <c r="G40" s="43" t="str">
        <f>'[1]615 (1)'!D52</f>
        <v>PENDING</v>
      </c>
      <c r="H40" s="44" t="s">
        <v>118</v>
      </c>
      <c r="I40" s="45" t="s">
        <v>1</v>
      </c>
      <c r="J40" s="46" t="s">
        <v>11</v>
      </c>
      <c r="K40" s="47" t="str">
        <f>'[1]615 (4)'!E50</f>
        <v>N/A</v>
      </c>
      <c r="L40" s="48" t="str">
        <f>'[1]615 (4)'!D50</f>
        <v>N/A</v>
      </c>
      <c r="M40" s="49">
        <v>0</v>
      </c>
      <c r="N40" s="47" t="str">
        <f>'[1]615 (4)'!E51</f>
        <v>N/A</v>
      </c>
      <c r="O40" s="48" t="str">
        <f>'[1]615 (4)'!D51</f>
        <v>N/A</v>
      </c>
      <c r="P40" s="49">
        <v>0</v>
      </c>
      <c r="Q40" s="50"/>
      <c r="R40" s="51" t="e">
        <f t="shared" si="0"/>
        <v>#N/A</v>
      </c>
      <c r="S40" s="52"/>
    </row>
    <row r="41" spans="1:19" ht="16" x14ac:dyDescent="0.2">
      <c r="A41" s="39">
        <v>28</v>
      </c>
      <c r="B41" s="40" t="s">
        <v>7</v>
      </c>
      <c r="C41" s="41" t="s">
        <v>7</v>
      </c>
      <c r="D41" s="41" t="s">
        <v>0</v>
      </c>
      <c r="E41" s="42" t="s">
        <v>119</v>
      </c>
      <c r="F41" s="41"/>
      <c r="G41" s="43" t="str">
        <f>'[1]615 (1)'!D52</f>
        <v>PENDING</v>
      </c>
      <c r="H41" s="44" t="s">
        <v>120</v>
      </c>
      <c r="I41" s="45" t="s">
        <v>19</v>
      </c>
      <c r="J41" s="46" t="s">
        <v>27</v>
      </c>
      <c r="K41" s="47" t="str">
        <f>'[1]615 (5)'!E50</f>
        <v>N/A</v>
      </c>
      <c r="L41" s="48" t="str">
        <f>'[1]615 (5)'!D50</f>
        <v>N/A</v>
      </c>
      <c r="M41" s="49">
        <v>0</v>
      </c>
      <c r="N41" s="47" t="str">
        <f>'[1]615 (5)'!E51</f>
        <v>N/A</v>
      </c>
      <c r="O41" s="48" t="str">
        <f>'[1]615 (5)'!D51</f>
        <v>N/A</v>
      </c>
      <c r="P41" s="49">
        <v>0</v>
      </c>
      <c r="Q41" s="50"/>
      <c r="R41" s="51" t="e">
        <f t="shared" si="0"/>
        <v>#N/A</v>
      </c>
      <c r="S41" s="52"/>
    </row>
    <row r="42" spans="1:19" ht="16" x14ac:dyDescent="0.2">
      <c r="A42" s="39">
        <v>29</v>
      </c>
      <c r="B42" s="41" t="s">
        <v>16</v>
      </c>
      <c r="C42" s="41" t="s">
        <v>16</v>
      </c>
      <c r="D42" s="41" t="s">
        <v>0</v>
      </c>
      <c r="E42" s="42" t="s">
        <v>121</v>
      </c>
      <c r="F42" s="41"/>
      <c r="G42" s="43" t="str">
        <f>'[1]630 (1)'!D50</f>
        <v>PENDING</v>
      </c>
      <c r="H42" s="56" t="s">
        <v>122</v>
      </c>
      <c r="I42" s="45" t="s">
        <v>19</v>
      </c>
      <c r="J42" s="46" t="s">
        <v>27</v>
      </c>
      <c r="K42" s="47" t="str">
        <f>'[1]630 (1)'!E48</f>
        <v>N/A</v>
      </c>
      <c r="L42" s="48" t="str">
        <f>'[1]630 (1)'!D48</f>
        <v>N/A</v>
      </c>
      <c r="M42" s="49">
        <v>0</v>
      </c>
      <c r="N42" s="47" t="str">
        <f>'[1]630 (1)'!E49</f>
        <v>N/A</v>
      </c>
      <c r="O42" s="48" t="str">
        <f>'[1]630 (1)'!D49</f>
        <v>N/A</v>
      </c>
      <c r="P42" s="49">
        <v>0</v>
      </c>
      <c r="Q42" s="50"/>
      <c r="R42" s="51" t="e">
        <f t="shared" si="0"/>
        <v>#N/A</v>
      </c>
      <c r="S42" s="52"/>
    </row>
    <row r="43" spans="1:19" ht="16" x14ac:dyDescent="0.2">
      <c r="A43" s="39">
        <v>30</v>
      </c>
      <c r="B43" s="40" t="s">
        <v>7</v>
      </c>
      <c r="C43" s="41" t="s">
        <v>16</v>
      </c>
      <c r="D43" s="41" t="s">
        <v>0</v>
      </c>
      <c r="E43" s="42" t="s">
        <v>123</v>
      </c>
      <c r="F43" s="41"/>
      <c r="G43" s="43" t="str">
        <f>'[1]630 (1)'!D50</f>
        <v>PENDING</v>
      </c>
      <c r="H43" s="44" t="s">
        <v>124</v>
      </c>
      <c r="I43" s="45" t="s">
        <v>19</v>
      </c>
      <c r="J43" s="46" t="s">
        <v>11</v>
      </c>
      <c r="K43" s="47" t="str">
        <f>'[1]630 (2)'!E48</f>
        <v>N/A</v>
      </c>
      <c r="L43" s="48" t="str">
        <f>'[1]630 (2)'!D48</f>
        <v>N/A</v>
      </c>
      <c r="M43" s="49">
        <v>0</v>
      </c>
      <c r="N43" s="47" t="str">
        <f>'[1]630 (2)'!E49</f>
        <v>N/A</v>
      </c>
      <c r="O43" s="48" t="str">
        <f>'[1]630 (2)'!D49</f>
        <v>N/A</v>
      </c>
      <c r="P43" s="49">
        <v>0</v>
      </c>
      <c r="Q43" s="50"/>
      <c r="R43" s="51" t="e">
        <f t="shared" si="0"/>
        <v>#N/A</v>
      </c>
      <c r="S43" s="52"/>
    </row>
    <row r="44" spans="1:19" ht="16" x14ac:dyDescent="0.2">
      <c r="A44" s="39">
        <v>31</v>
      </c>
      <c r="B44" s="41" t="s">
        <v>16</v>
      </c>
      <c r="C44" s="41" t="s">
        <v>7</v>
      </c>
      <c r="D44" s="41" t="s">
        <v>0</v>
      </c>
      <c r="E44" s="42" t="s">
        <v>125</v>
      </c>
      <c r="F44" s="41"/>
      <c r="G44" s="43" t="str">
        <f>'[1]630 (3)'!D50</f>
        <v>PENDING</v>
      </c>
      <c r="H44" s="56">
        <v>3</v>
      </c>
      <c r="I44" s="45" t="s">
        <v>19</v>
      </c>
      <c r="J44" s="46" t="s">
        <v>27</v>
      </c>
      <c r="K44" s="47" t="str">
        <f>'[1]630 (3)'!E48</f>
        <v>N/A</v>
      </c>
      <c r="L44" s="48" t="str">
        <f>'[1]630 (3)'!D48</f>
        <v>N/A</v>
      </c>
      <c r="M44" s="49">
        <v>0</v>
      </c>
      <c r="N44" s="47" t="str">
        <f>'[1]630 (3)'!E49</f>
        <v>N/A</v>
      </c>
      <c r="O44" s="48" t="str">
        <f>'[1]630 (3)'!D49</f>
        <v>N/A</v>
      </c>
      <c r="P44" s="49">
        <v>0</v>
      </c>
      <c r="Q44" s="50"/>
      <c r="R44" s="51" t="e">
        <f t="shared" si="0"/>
        <v>#N/A</v>
      </c>
      <c r="S44" s="52"/>
    </row>
    <row r="45" spans="1:19" ht="32" x14ac:dyDescent="0.2">
      <c r="A45" s="39">
        <v>32</v>
      </c>
      <c r="B45" s="40" t="s">
        <v>7</v>
      </c>
      <c r="C45" s="41" t="s">
        <v>7</v>
      </c>
      <c r="D45" s="41" t="s">
        <v>0</v>
      </c>
      <c r="E45" s="42" t="s">
        <v>126</v>
      </c>
      <c r="F45" s="41"/>
      <c r="G45" s="43" t="str">
        <f>'[1]630 (3)'!D50</f>
        <v>PENDING</v>
      </c>
      <c r="H45" s="44" t="s">
        <v>127</v>
      </c>
      <c r="I45" s="45" t="s">
        <v>19</v>
      </c>
      <c r="J45" s="46" t="s">
        <v>11</v>
      </c>
      <c r="K45" s="47" t="str">
        <f>'[1]630 (4)'!E48</f>
        <v>N/A</v>
      </c>
      <c r="L45" s="48" t="str">
        <f>'[1]630 (4)'!D48</f>
        <v>N/A</v>
      </c>
      <c r="M45" s="49">
        <v>0</v>
      </c>
      <c r="N45" s="47" t="str">
        <f>'[1]630 (4)'!E49</f>
        <v>N/A</v>
      </c>
      <c r="O45" s="48" t="str">
        <f>'[1]630 (4)'!D49</f>
        <v>N/A</v>
      </c>
      <c r="P45" s="49">
        <v>0</v>
      </c>
      <c r="Q45" s="50"/>
      <c r="R45" s="51" t="e">
        <f t="shared" si="0"/>
        <v>#N/A</v>
      </c>
      <c r="S45" s="52"/>
    </row>
    <row r="46" spans="1:19" ht="32" x14ac:dyDescent="0.2">
      <c r="A46" s="50">
        <v>61.577526132404202</v>
      </c>
      <c r="B46" s="41" t="s">
        <v>16</v>
      </c>
      <c r="C46" s="41" t="s">
        <v>7</v>
      </c>
      <c r="D46" s="41" t="s">
        <v>0</v>
      </c>
      <c r="E46" s="42" t="s">
        <v>128</v>
      </c>
      <c r="F46" s="41"/>
      <c r="G46" s="43" t="s">
        <v>4</v>
      </c>
      <c r="H46" s="56" t="s">
        <v>129</v>
      </c>
      <c r="I46" s="45" t="s">
        <v>19</v>
      </c>
      <c r="J46" s="46" t="s">
        <v>2</v>
      </c>
      <c r="K46" s="47"/>
      <c r="L46" s="48"/>
      <c r="M46" s="49">
        <v>0</v>
      </c>
      <c r="N46" s="47"/>
      <c r="O46" s="48"/>
      <c r="P46" s="49">
        <v>0</v>
      </c>
      <c r="Q46" s="50"/>
      <c r="R46" s="51" t="e">
        <f t="shared" si="0"/>
        <v>#N/A</v>
      </c>
      <c r="S46" s="52"/>
    </row>
    <row r="47" spans="1:19" ht="16" x14ac:dyDescent="0.2">
      <c r="A47" s="50">
        <v>62.592334494773503</v>
      </c>
      <c r="B47" s="41" t="s">
        <v>16</v>
      </c>
      <c r="C47" s="41" t="s">
        <v>16</v>
      </c>
      <c r="D47" s="41" t="s">
        <v>0</v>
      </c>
      <c r="E47" s="42" t="s">
        <v>130</v>
      </c>
      <c r="F47" s="41"/>
      <c r="G47" s="43" t="s">
        <v>4</v>
      </c>
      <c r="H47" s="56" t="s">
        <v>131</v>
      </c>
      <c r="I47" s="45" t="s">
        <v>19</v>
      </c>
      <c r="J47" s="46" t="s">
        <v>2</v>
      </c>
      <c r="K47" s="47"/>
      <c r="L47" s="48"/>
      <c r="M47" s="49">
        <v>0</v>
      </c>
      <c r="N47" s="47"/>
      <c r="O47" s="48"/>
      <c r="P47" s="49">
        <v>0</v>
      </c>
      <c r="Q47" s="50"/>
      <c r="R47" s="51" t="e">
        <f t="shared" si="0"/>
        <v>#N/A</v>
      </c>
      <c r="S47" s="52"/>
    </row>
    <row r="48" spans="1:19" ht="16" x14ac:dyDescent="0.2">
      <c r="A48" s="50">
        <v>63.607142857142797</v>
      </c>
      <c r="B48" s="40" t="s">
        <v>7</v>
      </c>
      <c r="C48" s="41" t="s">
        <v>7</v>
      </c>
      <c r="D48" s="41" t="s">
        <v>0</v>
      </c>
      <c r="E48" s="42" t="s">
        <v>132</v>
      </c>
      <c r="F48" s="41"/>
      <c r="G48" s="43" t="s">
        <v>4</v>
      </c>
      <c r="H48" s="44" t="s">
        <v>133</v>
      </c>
      <c r="I48" s="45" t="s">
        <v>19</v>
      </c>
      <c r="J48" s="46" t="s">
        <v>2</v>
      </c>
      <c r="K48" s="47"/>
      <c r="L48" s="48"/>
      <c r="M48" s="49">
        <v>0</v>
      </c>
      <c r="N48" s="47"/>
      <c r="O48" s="48"/>
      <c r="P48" s="49">
        <v>0</v>
      </c>
      <c r="Q48" s="50"/>
      <c r="R48" s="51" t="e">
        <f t="shared" si="0"/>
        <v>#N/A</v>
      </c>
      <c r="S48" s="52"/>
    </row>
    <row r="49" spans="1:19" ht="32" x14ac:dyDescent="0.2">
      <c r="A49" s="50">
        <v>64.621951219512198</v>
      </c>
      <c r="B49" s="41" t="s">
        <v>16</v>
      </c>
      <c r="C49" s="41" t="s">
        <v>16</v>
      </c>
      <c r="D49" s="41" t="s">
        <v>0</v>
      </c>
      <c r="E49" s="42" t="s">
        <v>134</v>
      </c>
      <c r="F49" s="41"/>
      <c r="G49" s="43" t="s">
        <v>4</v>
      </c>
      <c r="H49" s="56" t="s">
        <v>135</v>
      </c>
      <c r="I49" s="45" t="s">
        <v>1</v>
      </c>
      <c r="J49" s="46" t="s">
        <v>11</v>
      </c>
      <c r="K49" s="47"/>
      <c r="L49" s="48"/>
      <c r="M49" s="49">
        <v>0</v>
      </c>
      <c r="N49" s="47"/>
      <c r="O49" s="48"/>
      <c r="P49" s="49">
        <v>0</v>
      </c>
      <c r="Q49" s="50"/>
      <c r="R49" s="51" t="e">
        <f t="shared" si="0"/>
        <v>#N/A</v>
      </c>
      <c r="S49" s="52"/>
    </row>
    <row r="50" spans="1:19" ht="16" x14ac:dyDescent="0.2">
      <c r="A50" s="50">
        <v>65.636759581881506</v>
      </c>
      <c r="B50" s="41" t="s">
        <v>16</v>
      </c>
      <c r="C50" s="41" t="s">
        <v>16</v>
      </c>
      <c r="D50" s="41" t="s">
        <v>0</v>
      </c>
      <c r="E50" s="42" t="s">
        <v>136</v>
      </c>
      <c r="F50" s="41"/>
      <c r="G50" s="43" t="s">
        <v>4</v>
      </c>
      <c r="H50" s="56" t="s">
        <v>137</v>
      </c>
      <c r="I50" s="45" t="s">
        <v>19</v>
      </c>
      <c r="J50" s="46" t="s">
        <v>34</v>
      </c>
      <c r="K50" s="47"/>
      <c r="L50" s="48"/>
      <c r="M50" s="49">
        <v>0</v>
      </c>
      <c r="N50" s="47"/>
      <c r="O50" s="48"/>
      <c r="P50" s="49">
        <v>0</v>
      </c>
      <c r="Q50" s="50"/>
      <c r="R50" s="51" t="e">
        <f t="shared" si="0"/>
        <v>#N/A</v>
      </c>
      <c r="S50" s="52"/>
    </row>
    <row r="51" spans="1:19" ht="16" x14ac:dyDescent="0.2">
      <c r="A51" s="50">
        <v>66.6515679442508</v>
      </c>
      <c r="B51" s="40" t="s">
        <v>7</v>
      </c>
      <c r="C51" s="41" t="s">
        <v>7</v>
      </c>
      <c r="D51" s="41" t="s">
        <v>0</v>
      </c>
      <c r="E51" s="42" t="s">
        <v>138</v>
      </c>
      <c r="F51" s="41"/>
      <c r="G51" s="43" t="s">
        <v>4</v>
      </c>
      <c r="H51" s="44" t="s">
        <v>139</v>
      </c>
      <c r="I51" s="45" t="s">
        <v>19</v>
      </c>
      <c r="J51" s="46" t="s">
        <v>34</v>
      </c>
      <c r="K51" s="47"/>
      <c r="L51" s="48"/>
      <c r="M51" s="49">
        <v>0</v>
      </c>
      <c r="N51" s="47"/>
      <c r="O51" s="48"/>
      <c r="P51" s="49">
        <v>0</v>
      </c>
      <c r="Q51" s="50"/>
      <c r="R51" s="51" t="e">
        <f t="shared" si="0"/>
        <v>#N/A</v>
      </c>
      <c r="S51" s="52"/>
    </row>
    <row r="52" spans="1:19" ht="16" x14ac:dyDescent="0.2">
      <c r="A52" s="39">
        <v>33</v>
      </c>
      <c r="B52" s="40" t="s">
        <v>7</v>
      </c>
      <c r="C52" s="41" t="s">
        <v>7</v>
      </c>
      <c r="D52" s="41" t="s">
        <v>0</v>
      </c>
      <c r="E52" s="42">
        <v>650</v>
      </c>
      <c r="F52" s="41"/>
      <c r="G52" s="43" t="str">
        <f>'[1]650'!D53</f>
        <v>PENDING</v>
      </c>
      <c r="H52" s="44" t="s">
        <v>140</v>
      </c>
      <c r="I52" s="45" t="s">
        <v>19</v>
      </c>
      <c r="J52" s="46" t="s">
        <v>2</v>
      </c>
      <c r="K52" s="47" t="str">
        <f>'[1]650'!E51</f>
        <v>N/A</v>
      </c>
      <c r="L52" s="48" t="str">
        <f>'[1]650'!D51</f>
        <v>N/A</v>
      </c>
      <c r="M52" s="49">
        <v>0</v>
      </c>
      <c r="N52" s="47" t="str">
        <f>'[1]650'!E52</f>
        <v>N/A</v>
      </c>
      <c r="O52" s="48" t="str">
        <f>'[1]650'!D52</f>
        <v>N/A</v>
      </c>
      <c r="P52" s="49">
        <v>0</v>
      </c>
      <c r="Q52" s="50"/>
      <c r="R52" s="51" t="e">
        <f>VLOOKUP(Q52,$AC$1:$AD$11,2,FALSE)</f>
        <v>#N/A</v>
      </c>
      <c r="S52" s="52"/>
    </row>
    <row r="53" spans="1:19" ht="32" x14ac:dyDescent="0.2">
      <c r="A53" s="50">
        <v>67.666376306620194</v>
      </c>
      <c r="B53" s="40" t="s">
        <v>7</v>
      </c>
      <c r="C53" s="41" t="s">
        <v>7</v>
      </c>
      <c r="D53" s="41" t="s">
        <v>0</v>
      </c>
      <c r="E53" s="41"/>
      <c r="F53" s="41"/>
      <c r="G53" s="43" t="s">
        <v>4</v>
      </c>
      <c r="H53" s="44" t="s">
        <v>141</v>
      </c>
      <c r="I53" s="45" t="s">
        <v>1</v>
      </c>
      <c r="J53" s="46" t="s">
        <v>27</v>
      </c>
      <c r="K53" s="47"/>
      <c r="L53" s="48"/>
      <c r="M53" s="49">
        <v>0</v>
      </c>
      <c r="N53" s="47"/>
      <c r="O53" s="48"/>
      <c r="P53" s="49">
        <v>0</v>
      </c>
      <c r="Q53" s="50"/>
      <c r="R53" s="51" t="e">
        <f t="shared" si="0"/>
        <v>#N/A</v>
      </c>
      <c r="S53" s="52"/>
    </row>
    <row r="54" spans="1:19" ht="32" x14ac:dyDescent="0.2">
      <c r="A54" s="50">
        <v>68.681184668989502</v>
      </c>
      <c r="B54" s="40" t="s">
        <v>7</v>
      </c>
      <c r="C54" s="41" t="s">
        <v>7</v>
      </c>
      <c r="D54" s="41" t="s">
        <v>0</v>
      </c>
      <c r="E54" s="41"/>
      <c r="F54" s="41"/>
      <c r="G54" s="43" t="s">
        <v>4</v>
      </c>
      <c r="H54" s="44" t="s">
        <v>142</v>
      </c>
      <c r="I54" s="45" t="s">
        <v>1</v>
      </c>
      <c r="J54" s="46" t="s">
        <v>44</v>
      </c>
      <c r="K54" s="47"/>
      <c r="L54" s="48"/>
      <c r="M54" s="49">
        <v>0</v>
      </c>
      <c r="N54" s="47"/>
      <c r="O54" s="48"/>
      <c r="P54" s="49">
        <v>0</v>
      </c>
      <c r="Q54" s="50"/>
      <c r="R54" s="51" t="e">
        <f t="shared" si="0"/>
        <v>#N/A</v>
      </c>
      <c r="S54" s="52"/>
    </row>
    <row r="55" spans="1:19" ht="16" x14ac:dyDescent="0.2">
      <c r="A55" s="50">
        <v>69.695993031358896</v>
      </c>
      <c r="B55" s="40" t="s">
        <v>7</v>
      </c>
      <c r="C55" s="41" t="s">
        <v>7</v>
      </c>
      <c r="D55" s="41" t="s">
        <v>0</v>
      </c>
      <c r="E55" s="41"/>
      <c r="F55" s="41"/>
      <c r="G55" s="43" t="s">
        <v>4</v>
      </c>
      <c r="H55" s="44" t="s">
        <v>143</v>
      </c>
      <c r="I55" s="45" t="s">
        <v>19</v>
      </c>
      <c r="J55" s="46" t="s">
        <v>34</v>
      </c>
      <c r="K55" s="47"/>
      <c r="L55" s="48"/>
      <c r="M55" s="49">
        <v>0</v>
      </c>
      <c r="N55" s="47"/>
      <c r="O55" s="48"/>
      <c r="P55" s="49">
        <v>0</v>
      </c>
      <c r="Q55" s="50"/>
      <c r="R55" s="51" t="e">
        <f t="shared" si="0"/>
        <v>#N/A</v>
      </c>
      <c r="S55" s="52"/>
    </row>
    <row r="56" spans="1:19" ht="16" x14ac:dyDescent="0.2">
      <c r="A56" s="50">
        <v>70.710801393728204</v>
      </c>
      <c r="B56" s="40" t="s">
        <v>7</v>
      </c>
      <c r="C56" s="41" t="s">
        <v>7</v>
      </c>
      <c r="D56" s="41" t="s">
        <v>0</v>
      </c>
      <c r="E56" s="41"/>
      <c r="F56" s="41"/>
      <c r="G56" s="43" t="s">
        <v>4</v>
      </c>
      <c r="H56" s="44" t="s">
        <v>144</v>
      </c>
      <c r="I56" s="45" t="s">
        <v>19</v>
      </c>
      <c r="J56" s="46" t="s">
        <v>27</v>
      </c>
      <c r="K56" s="47"/>
      <c r="L56" s="48"/>
      <c r="M56" s="49">
        <v>0</v>
      </c>
      <c r="N56" s="47"/>
      <c r="O56" s="48"/>
      <c r="P56" s="49">
        <v>0</v>
      </c>
      <c r="Q56" s="50"/>
      <c r="R56" s="51" t="e">
        <f t="shared" si="0"/>
        <v>#N/A</v>
      </c>
      <c r="S56" s="52"/>
    </row>
    <row r="57" spans="1:19" ht="16" x14ac:dyDescent="0.2">
      <c r="A57" s="50">
        <v>71.725609756097498</v>
      </c>
      <c r="B57" s="41" t="s">
        <v>16</v>
      </c>
      <c r="C57" s="41" t="s">
        <v>16</v>
      </c>
      <c r="D57" s="41" t="s">
        <v>0</v>
      </c>
      <c r="E57" s="41"/>
      <c r="F57" s="41"/>
      <c r="G57" s="43" t="s">
        <v>4</v>
      </c>
      <c r="H57" s="56" t="s">
        <v>145</v>
      </c>
      <c r="I57" s="45" t="s">
        <v>19</v>
      </c>
      <c r="J57" s="46" t="s">
        <v>2</v>
      </c>
      <c r="K57" s="47"/>
      <c r="L57" s="48"/>
      <c r="M57" s="49">
        <v>0</v>
      </c>
      <c r="N57" s="47"/>
      <c r="O57" s="48"/>
      <c r="P57" s="49">
        <v>0</v>
      </c>
      <c r="Q57" s="50"/>
      <c r="R57" s="51" t="e">
        <f t="shared" si="0"/>
        <v>#N/A</v>
      </c>
      <c r="S57" s="52"/>
    </row>
    <row r="58" spans="1:19" ht="16" x14ac:dyDescent="0.2">
      <c r="A58" s="50">
        <v>72.740418118466906</v>
      </c>
      <c r="B58" s="41" t="s">
        <v>16</v>
      </c>
      <c r="C58" s="41" t="s">
        <v>16</v>
      </c>
      <c r="D58" s="41" t="s">
        <v>0</v>
      </c>
      <c r="E58" s="41"/>
      <c r="F58" s="41"/>
      <c r="G58" s="43" t="s">
        <v>4</v>
      </c>
      <c r="H58" s="56" t="s">
        <v>146</v>
      </c>
      <c r="I58" s="45" t="s">
        <v>19</v>
      </c>
      <c r="J58" s="46" t="s">
        <v>2</v>
      </c>
      <c r="K58" s="47"/>
      <c r="L58" s="48"/>
      <c r="M58" s="49">
        <v>0</v>
      </c>
      <c r="N58" s="47"/>
      <c r="O58" s="48"/>
      <c r="P58" s="49">
        <v>0</v>
      </c>
      <c r="Q58" s="50"/>
      <c r="R58" s="51" t="e">
        <f t="shared" si="0"/>
        <v>#N/A</v>
      </c>
      <c r="S58" s="52"/>
    </row>
    <row r="59" spans="1:19" ht="16" x14ac:dyDescent="0.2">
      <c r="A59" s="50">
        <v>73.7552264808362</v>
      </c>
      <c r="B59" s="41" t="s">
        <v>16</v>
      </c>
      <c r="C59" s="41" t="s">
        <v>16</v>
      </c>
      <c r="D59" s="41" t="s">
        <v>0</v>
      </c>
      <c r="E59" s="41"/>
      <c r="F59" s="41"/>
      <c r="G59" s="43" t="s">
        <v>4</v>
      </c>
      <c r="H59" s="56" t="s">
        <v>147</v>
      </c>
      <c r="I59" s="45" t="s">
        <v>19</v>
      </c>
      <c r="J59" s="46" t="s">
        <v>34</v>
      </c>
      <c r="K59" s="47"/>
      <c r="L59" s="48"/>
      <c r="M59" s="49">
        <v>0</v>
      </c>
      <c r="N59" s="47"/>
      <c r="O59" s="48"/>
      <c r="P59" s="49">
        <v>0</v>
      </c>
      <c r="Q59" s="50"/>
      <c r="R59" s="51" t="e">
        <f t="shared" si="0"/>
        <v>#N/A</v>
      </c>
      <c r="S59" s="52"/>
    </row>
    <row r="60" spans="1:19" ht="32" x14ac:dyDescent="0.2">
      <c r="A60" s="50">
        <v>74.770034843205593</v>
      </c>
      <c r="B60" s="41" t="s">
        <v>16</v>
      </c>
      <c r="C60" s="41" t="s">
        <v>16</v>
      </c>
      <c r="D60" s="41" t="s">
        <v>0</v>
      </c>
      <c r="E60" s="41"/>
      <c r="F60" s="41"/>
      <c r="G60" s="43" t="s">
        <v>4</v>
      </c>
      <c r="H60" s="56" t="s">
        <v>148</v>
      </c>
      <c r="I60" s="45" t="s">
        <v>1</v>
      </c>
      <c r="J60" s="46" t="s">
        <v>27</v>
      </c>
      <c r="K60" s="47"/>
      <c r="L60" s="48"/>
      <c r="M60" s="49">
        <v>0</v>
      </c>
      <c r="N60" s="47"/>
      <c r="O60" s="48"/>
      <c r="P60" s="49">
        <v>0</v>
      </c>
      <c r="Q60" s="50"/>
      <c r="R60" s="51" t="e">
        <f t="shared" si="0"/>
        <v>#N/A</v>
      </c>
      <c r="S60" s="52"/>
    </row>
    <row r="61" spans="1:19" ht="16" x14ac:dyDescent="0.2">
      <c r="A61" s="50">
        <v>75.784843205574902</v>
      </c>
      <c r="B61" s="41" t="s">
        <v>16</v>
      </c>
      <c r="C61" s="41" t="s">
        <v>16</v>
      </c>
      <c r="D61" s="41" t="s">
        <v>0</v>
      </c>
      <c r="E61" s="41"/>
      <c r="F61" s="41"/>
      <c r="G61" s="43" t="s">
        <v>4</v>
      </c>
      <c r="H61" s="56" t="s">
        <v>149</v>
      </c>
      <c r="I61" s="45" t="s">
        <v>19</v>
      </c>
      <c r="J61" s="46" t="s">
        <v>11</v>
      </c>
      <c r="K61" s="47"/>
      <c r="L61" s="48"/>
      <c r="M61" s="49">
        <v>0</v>
      </c>
      <c r="N61" s="47"/>
      <c r="O61" s="48"/>
      <c r="P61" s="49">
        <v>0</v>
      </c>
      <c r="Q61" s="50"/>
      <c r="R61" s="51" t="e">
        <f t="shared" si="0"/>
        <v>#N/A</v>
      </c>
      <c r="S61" s="52"/>
    </row>
    <row r="62" spans="1:19" ht="16" x14ac:dyDescent="0.2">
      <c r="A62" s="50">
        <v>76.799651567944196</v>
      </c>
      <c r="B62" s="41" t="s">
        <v>16</v>
      </c>
      <c r="C62" s="41" t="s">
        <v>16</v>
      </c>
      <c r="D62" s="41" t="s">
        <v>0</v>
      </c>
      <c r="E62" s="41"/>
      <c r="F62" s="41"/>
      <c r="G62" s="43" t="s">
        <v>4</v>
      </c>
      <c r="H62" s="56" t="s">
        <v>150</v>
      </c>
      <c r="I62" s="45" t="s">
        <v>19</v>
      </c>
      <c r="J62" s="46" t="s">
        <v>2</v>
      </c>
      <c r="K62" s="47"/>
      <c r="L62" s="48"/>
      <c r="M62" s="49">
        <v>0</v>
      </c>
      <c r="N62" s="47"/>
      <c r="O62" s="48"/>
      <c r="P62" s="49">
        <v>0</v>
      </c>
      <c r="Q62" s="50"/>
      <c r="R62" s="51" t="e">
        <f t="shared" si="0"/>
        <v>#N/A</v>
      </c>
      <c r="S62" s="52"/>
    </row>
    <row r="63" spans="1:19" ht="32" x14ac:dyDescent="0.2">
      <c r="A63" s="50">
        <v>77.814459930313603</v>
      </c>
      <c r="B63" s="41" t="s">
        <v>16</v>
      </c>
      <c r="C63" s="41" t="s">
        <v>16</v>
      </c>
      <c r="D63" s="41" t="s">
        <v>0</v>
      </c>
      <c r="E63" s="41"/>
      <c r="F63" s="41"/>
      <c r="G63" s="43" t="s">
        <v>4</v>
      </c>
      <c r="H63" s="56" t="s">
        <v>151</v>
      </c>
      <c r="I63" s="45" t="s">
        <v>10</v>
      </c>
      <c r="J63" s="46" t="s">
        <v>39</v>
      </c>
      <c r="K63" s="47"/>
      <c r="L63" s="48"/>
      <c r="M63" s="49">
        <v>0</v>
      </c>
      <c r="N63" s="47"/>
      <c r="O63" s="48"/>
      <c r="P63" s="49">
        <v>0</v>
      </c>
      <c r="Q63" s="50"/>
      <c r="R63" s="51" t="e">
        <f t="shared" si="0"/>
        <v>#N/A</v>
      </c>
      <c r="S63" s="52"/>
    </row>
    <row r="64" spans="1:19" ht="16" x14ac:dyDescent="0.2">
      <c r="A64" s="50">
        <v>78.829268292682897</v>
      </c>
      <c r="B64" s="41" t="s">
        <v>16</v>
      </c>
      <c r="C64" s="41" t="s">
        <v>16</v>
      </c>
      <c r="D64" s="41" t="s">
        <v>0</v>
      </c>
      <c r="E64" s="41"/>
      <c r="F64" s="41"/>
      <c r="G64" s="43" t="s">
        <v>4</v>
      </c>
      <c r="H64" s="56" t="s">
        <v>152</v>
      </c>
      <c r="I64" s="45" t="s">
        <v>19</v>
      </c>
      <c r="J64" s="46" t="s">
        <v>2</v>
      </c>
      <c r="K64" s="47"/>
      <c r="L64" s="48"/>
      <c r="M64" s="49">
        <v>0</v>
      </c>
      <c r="N64" s="47"/>
      <c r="O64" s="48"/>
      <c r="P64" s="49">
        <v>0</v>
      </c>
      <c r="Q64" s="50"/>
      <c r="R64" s="51" t="e">
        <f t="shared" si="0"/>
        <v>#N/A</v>
      </c>
      <c r="S64" s="52"/>
    </row>
    <row r="65" spans="1:19" ht="16" x14ac:dyDescent="0.2">
      <c r="A65" s="39">
        <v>34</v>
      </c>
      <c r="B65" s="40" t="s">
        <v>7</v>
      </c>
      <c r="C65" s="41" t="s">
        <v>7</v>
      </c>
      <c r="D65" s="41" t="s">
        <v>0</v>
      </c>
      <c r="E65" s="42">
        <v>660</v>
      </c>
      <c r="F65" s="41"/>
      <c r="G65" s="43" t="str">
        <f>'[1]660'!D50</f>
        <v>PENDING</v>
      </c>
      <c r="H65" s="44" t="s">
        <v>153</v>
      </c>
      <c r="I65" s="45" t="s">
        <v>19</v>
      </c>
      <c r="J65" s="46" t="s">
        <v>2</v>
      </c>
      <c r="K65" s="47" t="str">
        <f>'[1]660'!E48</f>
        <v>N/A</v>
      </c>
      <c r="L65" s="48" t="str">
        <f>'[1]660'!D48</f>
        <v>N/A</v>
      </c>
      <c r="M65" s="49">
        <v>0</v>
      </c>
      <c r="N65" s="47" t="str">
        <f>'[1]660'!E49</f>
        <v>N/A</v>
      </c>
      <c r="O65" s="48" t="str">
        <f>'[1]660'!D49</f>
        <v>N/A</v>
      </c>
      <c r="P65" s="49">
        <v>0</v>
      </c>
      <c r="Q65" s="50"/>
      <c r="R65" s="51" t="e">
        <f>VLOOKUP(Q65,$AC$1:$AD$11,2,FALSE)</f>
        <v>#N/A</v>
      </c>
      <c r="S65" s="52"/>
    </row>
    <row r="66" spans="1:19" ht="16" x14ac:dyDescent="0.2">
      <c r="A66" s="50">
        <v>79.844076655052206</v>
      </c>
      <c r="B66" s="40" t="s">
        <v>7</v>
      </c>
      <c r="C66" s="41" t="s">
        <v>16</v>
      </c>
      <c r="D66" s="41" t="s">
        <v>0</v>
      </c>
      <c r="E66" s="41"/>
      <c r="F66" s="41"/>
      <c r="G66" s="43" t="s">
        <v>4</v>
      </c>
      <c r="H66" s="44" t="s">
        <v>154</v>
      </c>
      <c r="I66" s="45" t="s">
        <v>19</v>
      </c>
      <c r="J66" s="46" t="s">
        <v>27</v>
      </c>
      <c r="K66" s="47"/>
      <c r="L66" s="48"/>
      <c r="M66" s="49">
        <v>0</v>
      </c>
      <c r="N66" s="47"/>
      <c r="O66" s="48"/>
      <c r="P66" s="49">
        <v>0</v>
      </c>
      <c r="Q66" s="50"/>
      <c r="R66" s="51" t="e">
        <f t="shared" si="0"/>
        <v>#N/A</v>
      </c>
      <c r="S66" s="52"/>
    </row>
    <row r="67" spans="1:19" ht="16" x14ac:dyDescent="0.2">
      <c r="A67" s="50">
        <v>80.858885017421599</v>
      </c>
      <c r="B67" s="40" t="s">
        <v>7</v>
      </c>
      <c r="C67" s="41" t="s">
        <v>16</v>
      </c>
      <c r="D67" s="41" t="s">
        <v>0</v>
      </c>
      <c r="E67" s="41"/>
      <c r="F67" s="41"/>
      <c r="G67" s="43" t="s">
        <v>4</v>
      </c>
      <c r="H67" s="44" t="s">
        <v>155</v>
      </c>
      <c r="I67" s="45" t="s">
        <v>19</v>
      </c>
      <c r="J67" s="46" t="s">
        <v>2</v>
      </c>
      <c r="K67" s="47"/>
      <c r="L67" s="48"/>
      <c r="M67" s="49">
        <v>0</v>
      </c>
      <c r="N67" s="47"/>
      <c r="O67" s="48"/>
      <c r="P67" s="49">
        <v>0</v>
      </c>
      <c r="Q67" s="50"/>
      <c r="R67" s="51" t="e">
        <f t="shared" si="0"/>
        <v>#N/A</v>
      </c>
      <c r="S67" s="52"/>
    </row>
    <row r="68" spans="1:19" ht="32" x14ac:dyDescent="0.2">
      <c r="A68" s="50">
        <v>81.873693379790893</v>
      </c>
      <c r="B68" s="41" t="s">
        <v>16</v>
      </c>
      <c r="C68" s="41" t="s">
        <v>16</v>
      </c>
      <c r="D68" s="41" t="s">
        <v>0</v>
      </c>
      <c r="E68" s="41"/>
      <c r="F68" s="41"/>
      <c r="G68" s="43" t="s">
        <v>4</v>
      </c>
      <c r="H68" s="56" t="s">
        <v>156</v>
      </c>
      <c r="I68" s="45" t="s">
        <v>10</v>
      </c>
      <c r="J68" s="46" t="s">
        <v>39</v>
      </c>
      <c r="K68" s="47"/>
      <c r="L68" s="48"/>
      <c r="M68" s="49">
        <v>0</v>
      </c>
      <c r="N68" s="47"/>
      <c r="O68" s="48"/>
      <c r="P68" s="49">
        <v>0</v>
      </c>
      <c r="Q68" s="50"/>
      <c r="R68" s="51" t="e">
        <f t="shared" si="0"/>
        <v>#N/A</v>
      </c>
      <c r="S68" s="52"/>
    </row>
    <row r="69" spans="1:19" ht="16" x14ac:dyDescent="0.2">
      <c r="A69" s="50">
        <v>82.888501742160301</v>
      </c>
      <c r="B69" s="41" t="s">
        <v>16</v>
      </c>
      <c r="C69" s="41" t="s">
        <v>16</v>
      </c>
      <c r="D69" s="41" t="s">
        <v>0</v>
      </c>
      <c r="E69" s="41"/>
      <c r="F69" s="41"/>
      <c r="G69" s="43" t="s">
        <v>4</v>
      </c>
      <c r="H69" s="56" t="s">
        <v>157</v>
      </c>
      <c r="I69" s="45" t="s">
        <v>19</v>
      </c>
      <c r="J69" s="46" t="s">
        <v>2</v>
      </c>
      <c r="K69" s="47"/>
      <c r="L69" s="48"/>
      <c r="M69" s="49">
        <v>0</v>
      </c>
      <c r="N69" s="47"/>
      <c r="O69" s="48"/>
      <c r="P69" s="49">
        <v>0</v>
      </c>
      <c r="Q69" s="50"/>
      <c r="R69" s="51" t="e">
        <f t="shared" si="0"/>
        <v>#N/A</v>
      </c>
      <c r="S69" s="52"/>
    </row>
    <row r="70" spans="1:19" ht="16" x14ac:dyDescent="0.2">
      <c r="A70" s="50">
        <v>83.903310104529595</v>
      </c>
      <c r="B70" s="41" t="s">
        <v>16</v>
      </c>
      <c r="C70" s="41" t="s">
        <v>16</v>
      </c>
      <c r="D70" s="41" t="s">
        <v>0</v>
      </c>
      <c r="E70" s="41"/>
      <c r="F70" s="41"/>
      <c r="G70" s="43" t="s">
        <v>4</v>
      </c>
      <c r="H70" s="56" t="s">
        <v>158</v>
      </c>
      <c r="I70" s="45" t="s">
        <v>19</v>
      </c>
      <c r="J70" s="46" t="s">
        <v>27</v>
      </c>
      <c r="K70" s="47"/>
      <c r="L70" s="48"/>
      <c r="M70" s="49">
        <v>0</v>
      </c>
      <c r="N70" s="47"/>
      <c r="O70" s="48"/>
      <c r="P70" s="49">
        <v>0</v>
      </c>
      <c r="Q70" s="50"/>
      <c r="R70" s="51" t="e">
        <f t="shared" si="0"/>
        <v>#N/A</v>
      </c>
      <c r="S70" s="52"/>
    </row>
    <row r="71" spans="1:19" ht="32" x14ac:dyDescent="0.2">
      <c r="A71" s="50">
        <v>84.918118466898903</v>
      </c>
      <c r="B71" s="41" t="s">
        <v>16</v>
      </c>
      <c r="C71" s="41" t="s">
        <v>16</v>
      </c>
      <c r="D71" s="41" t="s">
        <v>0</v>
      </c>
      <c r="E71" s="41"/>
      <c r="F71" s="41"/>
      <c r="G71" s="43" t="s">
        <v>4</v>
      </c>
      <c r="H71" s="56" t="s">
        <v>159</v>
      </c>
      <c r="I71" s="45" t="s">
        <v>19</v>
      </c>
      <c r="J71" s="46" t="s">
        <v>44</v>
      </c>
      <c r="K71" s="47"/>
      <c r="L71" s="48"/>
      <c r="M71" s="49">
        <v>0</v>
      </c>
      <c r="N71" s="47"/>
      <c r="O71" s="48"/>
      <c r="P71" s="49">
        <v>0</v>
      </c>
      <c r="Q71" s="50"/>
      <c r="R71" s="51" t="e">
        <f t="shared" si="0"/>
        <v>#N/A</v>
      </c>
      <c r="S71" s="52"/>
    </row>
    <row r="72" spans="1:19" ht="32" x14ac:dyDescent="0.2">
      <c r="A72" s="50">
        <v>85.932926829268297</v>
      </c>
      <c r="B72" s="41" t="s">
        <v>16</v>
      </c>
      <c r="C72" s="41" t="s">
        <v>16</v>
      </c>
      <c r="D72" s="41" t="s">
        <v>0</v>
      </c>
      <c r="E72" s="41"/>
      <c r="F72" s="41"/>
      <c r="G72" s="43" t="s">
        <v>4</v>
      </c>
      <c r="H72" s="56" t="s">
        <v>160</v>
      </c>
      <c r="I72" s="45" t="s">
        <v>19</v>
      </c>
      <c r="J72" s="46" t="s">
        <v>44</v>
      </c>
      <c r="K72" s="47"/>
      <c r="L72" s="48"/>
      <c r="M72" s="49">
        <v>0</v>
      </c>
      <c r="N72" s="47"/>
      <c r="O72" s="48"/>
      <c r="P72" s="49">
        <v>0</v>
      </c>
      <c r="Q72" s="50"/>
      <c r="R72" s="51" t="e">
        <f t="shared" si="0"/>
        <v>#N/A</v>
      </c>
      <c r="S72" s="52"/>
    </row>
    <row r="73" spans="1:19" ht="32" x14ac:dyDescent="0.2">
      <c r="A73" s="50">
        <v>86.947735191637605</v>
      </c>
      <c r="B73" s="40" t="s">
        <v>7</v>
      </c>
      <c r="C73" s="41" t="s">
        <v>7</v>
      </c>
      <c r="D73" s="41" t="s">
        <v>0</v>
      </c>
      <c r="E73" s="41"/>
      <c r="F73" s="41"/>
      <c r="G73" s="43" t="s">
        <v>4</v>
      </c>
      <c r="H73" s="44" t="s">
        <v>161</v>
      </c>
      <c r="I73" s="45" t="s">
        <v>19</v>
      </c>
      <c r="J73" s="46" t="s">
        <v>44</v>
      </c>
      <c r="K73" s="47"/>
      <c r="L73" s="48"/>
      <c r="M73" s="49">
        <v>0</v>
      </c>
      <c r="N73" s="47"/>
      <c r="O73" s="48"/>
      <c r="P73" s="49">
        <v>0</v>
      </c>
      <c r="Q73" s="50"/>
      <c r="R73" s="51" t="e">
        <f t="shared" si="0"/>
        <v>#N/A</v>
      </c>
      <c r="S73" s="52"/>
    </row>
    <row r="74" spans="1:19" ht="16" x14ac:dyDescent="0.2">
      <c r="A74" s="50">
        <v>87.962543554006899</v>
      </c>
      <c r="B74" s="41" t="s">
        <v>16</v>
      </c>
      <c r="C74" s="41" t="s">
        <v>16</v>
      </c>
      <c r="D74" s="41" t="s">
        <v>0</v>
      </c>
      <c r="E74" s="41"/>
      <c r="F74" s="41"/>
      <c r="G74" s="43" t="s">
        <v>4</v>
      </c>
      <c r="H74" s="56" t="s">
        <v>162</v>
      </c>
      <c r="I74" s="45" t="s">
        <v>19</v>
      </c>
      <c r="J74" s="46" t="s">
        <v>34</v>
      </c>
      <c r="K74" s="47"/>
      <c r="L74" s="48"/>
      <c r="M74" s="49">
        <v>0</v>
      </c>
      <c r="N74" s="47"/>
      <c r="O74" s="48"/>
      <c r="P74" s="49">
        <v>0</v>
      </c>
      <c r="Q74" s="50"/>
      <c r="R74" s="51" t="e">
        <f t="shared" si="0"/>
        <v>#N/A</v>
      </c>
      <c r="S74" s="52"/>
    </row>
    <row r="75" spans="1:19" ht="16" x14ac:dyDescent="0.2">
      <c r="A75" s="50">
        <v>88.977351916376307</v>
      </c>
      <c r="B75" s="41" t="s">
        <v>16</v>
      </c>
      <c r="C75" s="41" t="s">
        <v>16</v>
      </c>
      <c r="D75" s="41" t="s">
        <v>0</v>
      </c>
      <c r="E75" s="41"/>
      <c r="F75" s="41"/>
      <c r="G75" s="43" t="s">
        <v>4</v>
      </c>
      <c r="H75" s="56" t="s">
        <v>163</v>
      </c>
      <c r="I75" s="45" t="s">
        <v>19</v>
      </c>
      <c r="J75" s="46" t="s">
        <v>34</v>
      </c>
      <c r="K75" s="47"/>
      <c r="L75" s="48"/>
      <c r="M75" s="49">
        <v>0</v>
      </c>
      <c r="N75" s="47"/>
      <c r="O75" s="48"/>
      <c r="P75" s="49">
        <v>0</v>
      </c>
      <c r="Q75" s="50"/>
      <c r="R75" s="51" t="e">
        <f t="shared" si="0"/>
        <v>#N/A</v>
      </c>
      <c r="S75" s="52"/>
    </row>
    <row r="76" spans="1:19" ht="16" x14ac:dyDescent="0.2">
      <c r="A76" s="50">
        <v>89.992160278745601</v>
      </c>
      <c r="B76" s="41" t="s">
        <v>16</v>
      </c>
      <c r="C76" s="41" t="s">
        <v>16</v>
      </c>
      <c r="D76" s="41" t="s">
        <v>0</v>
      </c>
      <c r="E76" s="41"/>
      <c r="F76" s="41"/>
      <c r="G76" s="43" t="s">
        <v>4</v>
      </c>
      <c r="H76" s="56" t="s">
        <v>164</v>
      </c>
      <c r="I76" s="45" t="s">
        <v>19</v>
      </c>
      <c r="J76" s="46" t="s">
        <v>34</v>
      </c>
      <c r="K76" s="47"/>
      <c r="L76" s="48"/>
      <c r="M76" s="49">
        <v>0</v>
      </c>
      <c r="N76" s="47"/>
      <c r="O76" s="48"/>
      <c r="P76" s="49">
        <v>0</v>
      </c>
      <c r="Q76" s="50"/>
      <c r="R76" s="51" t="e">
        <f t="shared" si="0"/>
        <v>#N/A</v>
      </c>
      <c r="S76" s="52"/>
    </row>
    <row r="77" spans="1:19" ht="32" x14ac:dyDescent="0.2">
      <c r="A77" s="50">
        <v>91.006968641114995</v>
      </c>
      <c r="B77" s="40" t="s">
        <v>7</v>
      </c>
      <c r="C77" s="41" t="s">
        <v>7</v>
      </c>
      <c r="D77" s="41" t="s">
        <v>0</v>
      </c>
      <c r="E77" s="41"/>
      <c r="F77" s="41"/>
      <c r="G77" s="43" t="s">
        <v>4</v>
      </c>
      <c r="H77" s="44" t="s">
        <v>165</v>
      </c>
      <c r="I77" s="45" t="s">
        <v>10</v>
      </c>
      <c r="J77" s="46" t="s">
        <v>20</v>
      </c>
      <c r="K77" s="47"/>
      <c r="L77" s="48"/>
      <c r="M77" s="49">
        <v>0</v>
      </c>
      <c r="N77" s="47"/>
      <c r="O77" s="48"/>
      <c r="P77" s="49">
        <v>0</v>
      </c>
      <c r="Q77" s="50"/>
      <c r="R77" s="51" t="e">
        <f t="shared" si="0"/>
        <v>#N/A</v>
      </c>
      <c r="S77" s="52"/>
    </row>
    <row r="78" spans="1:19" ht="32" x14ac:dyDescent="0.2">
      <c r="A78" s="50">
        <v>92.021777003484303</v>
      </c>
      <c r="B78" s="41" t="s">
        <v>16</v>
      </c>
      <c r="C78" s="41" t="s">
        <v>16</v>
      </c>
      <c r="D78" s="41" t="s">
        <v>0</v>
      </c>
      <c r="E78" s="41"/>
      <c r="F78" s="41"/>
      <c r="G78" s="43" t="s">
        <v>4</v>
      </c>
      <c r="H78" s="56" t="s">
        <v>166</v>
      </c>
      <c r="I78" s="45" t="s">
        <v>1</v>
      </c>
      <c r="J78" s="46" t="s">
        <v>11</v>
      </c>
      <c r="K78" s="47"/>
      <c r="L78" s="48"/>
      <c r="M78" s="49">
        <v>0</v>
      </c>
      <c r="N78" s="47"/>
      <c r="O78" s="48"/>
      <c r="P78" s="49">
        <v>0</v>
      </c>
      <c r="Q78" s="50"/>
      <c r="R78" s="51" t="e">
        <f t="shared" si="0"/>
        <v>#N/A</v>
      </c>
      <c r="S78" s="52"/>
    </row>
    <row r="79" spans="1:19" ht="16" x14ac:dyDescent="0.2">
      <c r="A79" s="50">
        <v>93.036585365853597</v>
      </c>
      <c r="B79" s="41" t="s">
        <v>16</v>
      </c>
      <c r="C79" s="41" t="s">
        <v>16</v>
      </c>
      <c r="D79" s="41" t="s">
        <v>0</v>
      </c>
      <c r="E79" s="41"/>
      <c r="F79" s="41"/>
      <c r="G79" s="43" t="s">
        <v>4</v>
      </c>
      <c r="H79" s="56" t="s">
        <v>167</v>
      </c>
      <c r="I79" s="45" t="s">
        <v>19</v>
      </c>
      <c r="J79" s="46" t="s">
        <v>27</v>
      </c>
      <c r="K79" s="47"/>
      <c r="L79" s="48"/>
      <c r="M79" s="49">
        <v>0</v>
      </c>
      <c r="N79" s="47"/>
      <c r="O79" s="48"/>
      <c r="P79" s="49">
        <v>0</v>
      </c>
      <c r="Q79" s="50"/>
      <c r="R79" s="51" t="e">
        <f t="shared" si="0"/>
        <v>#N/A</v>
      </c>
      <c r="S79" s="52"/>
    </row>
    <row r="80" spans="1:19" ht="16" x14ac:dyDescent="0.2">
      <c r="A80" s="50">
        <v>94.051393728223005</v>
      </c>
      <c r="B80" s="41" t="s">
        <v>16</v>
      </c>
      <c r="C80" s="41" t="s">
        <v>16</v>
      </c>
      <c r="D80" s="41" t="s">
        <v>0</v>
      </c>
      <c r="E80" s="41"/>
      <c r="F80" s="41"/>
      <c r="G80" s="43" t="s">
        <v>4</v>
      </c>
      <c r="H80" s="56" t="s">
        <v>168</v>
      </c>
      <c r="I80" s="45" t="s">
        <v>19</v>
      </c>
      <c r="J80" s="46" t="s">
        <v>2</v>
      </c>
      <c r="K80" s="47"/>
      <c r="L80" s="48"/>
      <c r="M80" s="49">
        <v>0</v>
      </c>
      <c r="N80" s="47"/>
      <c r="O80" s="48"/>
      <c r="P80" s="49">
        <v>0</v>
      </c>
      <c r="Q80" s="50"/>
      <c r="R80" s="51" t="e">
        <f t="shared" si="0"/>
        <v>#N/A</v>
      </c>
      <c r="S80" s="52"/>
    </row>
    <row r="81" spans="1:19" ht="32" x14ac:dyDescent="0.2">
      <c r="A81" s="50">
        <v>95.066202090592299</v>
      </c>
      <c r="B81" s="40" t="s">
        <v>7</v>
      </c>
      <c r="C81" s="41" t="s">
        <v>7</v>
      </c>
      <c r="D81" s="41" t="s">
        <v>0</v>
      </c>
      <c r="E81" s="41"/>
      <c r="F81" s="41"/>
      <c r="G81" s="43" t="s">
        <v>4</v>
      </c>
      <c r="H81" s="44" t="s">
        <v>169</v>
      </c>
      <c r="I81" s="45" t="s">
        <v>1</v>
      </c>
      <c r="J81" s="46" t="s">
        <v>11</v>
      </c>
      <c r="K81" s="47"/>
      <c r="L81" s="48"/>
      <c r="M81" s="49">
        <v>0</v>
      </c>
      <c r="N81" s="47"/>
      <c r="O81" s="48"/>
      <c r="P81" s="49">
        <v>0</v>
      </c>
      <c r="Q81" s="50"/>
      <c r="R81" s="51" t="e">
        <f t="shared" si="0"/>
        <v>#N/A</v>
      </c>
      <c r="S81" s="52"/>
    </row>
    <row r="82" spans="1:19" ht="32" x14ac:dyDescent="0.2">
      <c r="A82" s="50">
        <v>96.081010452961706</v>
      </c>
      <c r="B82" s="40" t="s">
        <v>7</v>
      </c>
      <c r="C82" s="41" t="s">
        <v>7</v>
      </c>
      <c r="D82" s="41" t="s">
        <v>0</v>
      </c>
      <c r="E82" s="41"/>
      <c r="F82" s="41"/>
      <c r="G82" s="43" t="s">
        <v>4</v>
      </c>
      <c r="H82" s="44" t="s">
        <v>170</v>
      </c>
      <c r="I82" s="45" t="s">
        <v>10</v>
      </c>
      <c r="J82" s="46" t="s">
        <v>11</v>
      </c>
      <c r="K82" s="47"/>
      <c r="L82" s="48"/>
      <c r="M82" s="49">
        <v>0</v>
      </c>
      <c r="N82" s="47"/>
      <c r="O82" s="48"/>
      <c r="P82" s="49">
        <v>0</v>
      </c>
      <c r="Q82" s="50"/>
      <c r="R82" s="51" t="e">
        <f t="shared" si="0"/>
        <v>#N/A</v>
      </c>
      <c r="S82" s="52"/>
    </row>
    <row r="83" spans="1:19" ht="16" x14ac:dyDescent="0.2">
      <c r="A83" s="50">
        <v>97.095818815331</v>
      </c>
      <c r="B83" s="40" t="s">
        <v>7</v>
      </c>
      <c r="C83" s="41" t="s">
        <v>7</v>
      </c>
      <c r="D83" s="41" t="s">
        <v>0</v>
      </c>
      <c r="E83" s="41"/>
      <c r="F83" s="41"/>
      <c r="G83" s="43" t="s">
        <v>4</v>
      </c>
      <c r="H83" s="44" t="s">
        <v>171</v>
      </c>
      <c r="I83" s="45" t="s">
        <v>19</v>
      </c>
      <c r="J83" s="46" t="s">
        <v>2</v>
      </c>
      <c r="K83" s="47"/>
      <c r="L83" s="48"/>
      <c r="M83" s="49">
        <v>0</v>
      </c>
      <c r="N83" s="47"/>
      <c r="O83" s="48"/>
      <c r="P83" s="49">
        <v>0</v>
      </c>
      <c r="Q83" s="50"/>
      <c r="R83" s="51" t="e">
        <f t="shared" si="0"/>
        <v>#N/A</v>
      </c>
      <c r="S83" s="52"/>
    </row>
    <row r="84" spans="1:19" ht="16" x14ac:dyDescent="0.2">
      <c r="A84" s="50">
        <v>98.110627177700295</v>
      </c>
      <c r="B84" s="41" t="s">
        <v>16</v>
      </c>
      <c r="C84" s="41" t="s">
        <v>16</v>
      </c>
      <c r="D84" s="41" t="s">
        <v>0</v>
      </c>
      <c r="E84" s="41"/>
      <c r="F84" s="41"/>
      <c r="G84" s="43" t="s">
        <v>4</v>
      </c>
      <c r="H84" s="56" t="s">
        <v>172</v>
      </c>
      <c r="I84" s="45" t="s">
        <v>19</v>
      </c>
      <c r="J84" s="46" t="s">
        <v>2</v>
      </c>
      <c r="K84" s="47"/>
      <c r="L84" s="48"/>
      <c r="M84" s="49">
        <v>0</v>
      </c>
      <c r="N84" s="47"/>
      <c r="O84" s="48"/>
      <c r="P84" s="49">
        <v>0</v>
      </c>
      <c r="Q84" s="50"/>
      <c r="R84" s="51" t="e">
        <f t="shared" si="0"/>
        <v>#N/A</v>
      </c>
      <c r="S84" s="52"/>
    </row>
    <row r="85" spans="1:19" ht="32" x14ac:dyDescent="0.2">
      <c r="A85" s="50">
        <v>99.125435540069702</v>
      </c>
      <c r="B85" s="40" t="s">
        <v>7</v>
      </c>
      <c r="C85" s="41" t="s">
        <v>7</v>
      </c>
      <c r="D85" s="41" t="s">
        <v>0</v>
      </c>
      <c r="E85" s="41"/>
      <c r="F85" s="41"/>
      <c r="G85" s="43" t="s">
        <v>4</v>
      </c>
      <c r="H85" s="44" t="s">
        <v>173</v>
      </c>
      <c r="I85" s="45" t="s">
        <v>10</v>
      </c>
      <c r="J85" s="46" t="s">
        <v>11</v>
      </c>
      <c r="K85" s="47"/>
      <c r="L85" s="48"/>
      <c r="M85" s="49">
        <v>0</v>
      </c>
      <c r="N85" s="47"/>
      <c r="O85" s="48"/>
      <c r="P85" s="49">
        <v>0</v>
      </c>
      <c r="Q85" s="50"/>
      <c r="R85" s="51" t="e">
        <f t="shared" si="0"/>
        <v>#N/A</v>
      </c>
      <c r="S85" s="52"/>
    </row>
    <row r="86" spans="1:19" ht="16" x14ac:dyDescent="0.2">
      <c r="A86" s="50">
        <v>100.140243902439</v>
      </c>
      <c r="B86" s="40" t="s">
        <v>7</v>
      </c>
      <c r="C86" s="41" t="s">
        <v>7</v>
      </c>
      <c r="D86" s="41" t="s">
        <v>0</v>
      </c>
      <c r="E86" s="41"/>
      <c r="F86" s="41"/>
      <c r="G86" s="43" t="s">
        <v>4</v>
      </c>
      <c r="H86" s="44" t="s">
        <v>174</v>
      </c>
      <c r="I86" s="45" t="s">
        <v>19</v>
      </c>
      <c r="J86" s="46" t="s">
        <v>2</v>
      </c>
      <c r="K86" s="47"/>
      <c r="L86" s="48"/>
      <c r="M86" s="49">
        <v>0</v>
      </c>
      <c r="N86" s="47"/>
      <c r="O86" s="48"/>
      <c r="P86" s="49">
        <v>0</v>
      </c>
      <c r="Q86" s="50"/>
      <c r="R86" s="51" t="e">
        <f t="shared" si="0"/>
        <v>#N/A</v>
      </c>
      <c r="S86" s="52"/>
    </row>
    <row r="87" spans="1:19" ht="16" x14ac:dyDescent="0.2">
      <c r="A87" s="50">
        <v>101.15505226480801</v>
      </c>
      <c r="B87" s="40" t="s">
        <v>7</v>
      </c>
      <c r="C87" s="41" t="s">
        <v>7</v>
      </c>
      <c r="D87" s="41" t="s">
        <v>0</v>
      </c>
      <c r="E87" s="41"/>
      <c r="F87" s="41"/>
      <c r="G87" s="43" t="s">
        <v>4</v>
      </c>
      <c r="H87" s="44" t="s">
        <v>175</v>
      </c>
      <c r="I87" s="45" t="s">
        <v>19</v>
      </c>
      <c r="J87" s="46" t="s">
        <v>27</v>
      </c>
      <c r="K87" s="47"/>
      <c r="L87" s="48"/>
      <c r="M87" s="49">
        <v>0</v>
      </c>
      <c r="N87" s="47"/>
      <c r="O87" s="48"/>
      <c r="P87" s="49">
        <v>0</v>
      </c>
      <c r="Q87" s="50"/>
      <c r="R87" s="51" t="e">
        <f t="shared" si="0"/>
        <v>#N/A</v>
      </c>
      <c r="S87" s="52"/>
    </row>
    <row r="88" spans="1:19" ht="16" x14ac:dyDescent="0.2">
      <c r="A88" s="50">
        <v>102.169860627177</v>
      </c>
      <c r="B88" s="40" t="s">
        <v>7</v>
      </c>
      <c r="C88" s="41" t="s">
        <v>7</v>
      </c>
      <c r="D88" s="41" t="s">
        <v>0</v>
      </c>
      <c r="E88" s="41"/>
      <c r="F88" s="41"/>
      <c r="G88" s="43" t="s">
        <v>4</v>
      </c>
      <c r="H88" s="44" t="s">
        <v>176</v>
      </c>
      <c r="I88" s="45" t="s">
        <v>19</v>
      </c>
      <c r="J88" s="46" t="s">
        <v>2</v>
      </c>
      <c r="K88" s="47"/>
      <c r="L88" s="48"/>
      <c r="M88" s="49">
        <v>0</v>
      </c>
      <c r="N88" s="47"/>
      <c r="O88" s="48"/>
      <c r="P88" s="49">
        <v>0</v>
      </c>
      <c r="Q88" s="50"/>
      <c r="R88" s="51" t="e">
        <f t="shared" si="0"/>
        <v>#N/A</v>
      </c>
      <c r="S88" s="52"/>
    </row>
    <row r="89" spans="1:19" ht="16" x14ac:dyDescent="0.2">
      <c r="A89" s="50">
        <v>103.18466898954701</v>
      </c>
      <c r="B89" s="40" t="s">
        <v>7</v>
      </c>
      <c r="C89" s="41" t="s">
        <v>7</v>
      </c>
      <c r="D89" s="41" t="s">
        <v>0</v>
      </c>
      <c r="E89" s="41"/>
      <c r="F89" s="41"/>
      <c r="G89" s="43" t="s">
        <v>4</v>
      </c>
      <c r="H89" s="44" t="s">
        <v>177</v>
      </c>
      <c r="I89" s="45" t="s">
        <v>19</v>
      </c>
      <c r="J89" s="46" t="s">
        <v>27</v>
      </c>
      <c r="K89" s="47"/>
      <c r="L89" s="48"/>
      <c r="M89" s="49">
        <v>0</v>
      </c>
      <c r="N89" s="47"/>
      <c r="O89" s="48"/>
      <c r="P89" s="49">
        <v>0</v>
      </c>
      <c r="Q89" s="50"/>
      <c r="R89" s="51" t="e">
        <f t="shared" si="0"/>
        <v>#N/A</v>
      </c>
      <c r="S89" s="52"/>
    </row>
    <row r="90" spans="1:19" ht="16" x14ac:dyDescent="0.2">
      <c r="A90" s="50">
        <v>104.199477351916</v>
      </c>
      <c r="B90" s="41" t="s">
        <v>16</v>
      </c>
      <c r="C90" s="41" t="s">
        <v>16</v>
      </c>
      <c r="D90" s="41" t="s">
        <v>0</v>
      </c>
      <c r="E90" s="41"/>
      <c r="F90" s="41"/>
      <c r="G90" s="43" t="s">
        <v>4</v>
      </c>
      <c r="H90" s="56" t="s">
        <v>178</v>
      </c>
      <c r="I90" s="45" t="s">
        <v>19</v>
      </c>
      <c r="J90" s="46" t="s">
        <v>27</v>
      </c>
      <c r="K90" s="47"/>
      <c r="L90" s="48"/>
      <c r="M90" s="49">
        <v>0</v>
      </c>
      <c r="N90" s="47"/>
      <c r="O90" s="48"/>
      <c r="P90" s="49">
        <v>0</v>
      </c>
      <c r="Q90" s="50"/>
      <c r="R90" s="51" t="e">
        <f t="shared" si="0"/>
        <v>#N/A</v>
      </c>
      <c r="S90" s="52"/>
    </row>
    <row r="91" spans="1:19" ht="32" x14ac:dyDescent="0.2">
      <c r="A91" s="50">
        <v>105.214285714285</v>
      </c>
      <c r="B91" s="40" t="s">
        <v>7</v>
      </c>
      <c r="C91" s="41" t="s">
        <v>7</v>
      </c>
      <c r="D91" s="41" t="s">
        <v>0</v>
      </c>
      <c r="E91" s="41"/>
      <c r="F91" s="41"/>
      <c r="G91" s="43" t="s">
        <v>4</v>
      </c>
      <c r="H91" s="44" t="s">
        <v>179</v>
      </c>
      <c r="I91" s="45" t="s">
        <v>1</v>
      </c>
      <c r="J91" s="46" t="s">
        <v>39</v>
      </c>
      <c r="K91" s="47"/>
      <c r="L91" s="48"/>
      <c r="M91" s="49">
        <v>0</v>
      </c>
      <c r="N91" s="47"/>
      <c r="O91" s="48"/>
      <c r="P91" s="49">
        <v>0</v>
      </c>
      <c r="Q91" s="50"/>
      <c r="R91" s="51" t="e">
        <f t="shared" si="0"/>
        <v>#N/A</v>
      </c>
      <c r="S91" s="52"/>
    </row>
    <row r="92" spans="1:19" ht="32" x14ac:dyDescent="0.2">
      <c r="A92" s="50">
        <v>106.229094076655</v>
      </c>
      <c r="B92" s="40" t="s">
        <v>7</v>
      </c>
      <c r="C92" s="41" t="s">
        <v>7</v>
      </c>
      <c r="D92" s="41" t="s">
        <v>0</v>
      </c>
      <c r="E92" s="41"/>
      <c r="F92" s="41"/>
      <c r="G92" s="43" t="s">
        <v>4</v>
      </c>
      <c r="H92" s="44" t="s">
        <v>180</v>
      </c>
      <c r="I92" s="45" t="s">
        <v>1</v>
      </c>
      <c r="J92" s="46" t="s">
        <v>11</v>
      </c>
      <c r="K92" s="47"/>
      <c r="L92" s="48"/>
      <c r="M92" s="49">
        <v>0</v>
      </c>
      <c r="N92" s="47"/>
      <c r="O92" s="48"/>
      <c r="P92" s="49">
        <v>0</v>
      </c>
      <c r="Q92" s="50"/>
      <c r="R92" s="51" t="e">
        <f t="shared" si="0"/>
        <v>#N/A</v>
      </c>
      <c r="S92" s="52"/>
    </row>
    <row r="93" spans="1:19" ht="16" x14ac:dyDescent="0.2">
      <c r="A93" s="50">
        <v>107.243902439024</v>
      </c>
      <c r="B93" s="40" t="s">
        <v>7</v>
      </c>
      <c r="C93" s="41" t="s">
        <v>7</v>
      </c>
      <c r="D93" s="41" t="s">
        <v>0</v>
      </c>
      <c r="E93" s="41"/>
      <c r="F93" s="41"/>
      <c r="G93" s="43" t="s">
        <v>4</v>
      </c>
      <c r="H93" s="44" t="s">
        <v>181</v>
      </c>
      <c r="I93" s="45" t="s">
        <v>19</v>
      </c>
      <c r="J93" s="46" t="s">
        <v>2</v>
      </c>
      <c r="K93" s="47"/>
      <c r="L93" s="48"/>
      <c r="M93" s="49">
        <v>0</v>
      </c>
      <c r="N93" s="47"/>
      <c r="O93" s="48"/>
      <c r="P93" s="49">
        <v>0</v>
      </c>
      <c r="Q93" s="50"/>
      <c r="R93" s="51" t="e">
        <f t="shared" si="0"/>
        <v>#N/A</v>
      </c>
      <c r="S93" s="52"/>
    </row>
    <row r="94" spans="1:19" ht="16" x14ac:dyDescent="0.2">
      <c r="A94" s="50">
        <v>108.258710801394</v>
      </c>
      <c r="B94" s="40" t="s">
        <v>7</v>
      </c>
      <c r="C94" s="41" t="s">
        <v>7</v>
      </c>
      <c r="D94" s="41" t="s">
        <v>0</v>
      </c>
      <c r="E94" s="41"/>
      <c r="F94" s="41"/>
      <c r="G94" s="43" t="s">
        <v>4</v>
      </c>
      <c r="H94" s="44" t="s">
        <v>182</v>
      </c>
      <c r="I94" s="45" t="s">
        <v>19</v>
      </c>
      <c r="J94" s="46" t="s">
        <v>2</v>
      </c>
      <c r="K94" s="47"/>
      <c r="L94" s="48"/>
      <c r="M94" s="49">
        <v>0</v>
      </c>
      <c r="N94" s="47"/>
      <c r="O94" s="48"/>
      <c r="P94" s="49">
        <v>0</v>
      </c>
      <c r="Q94" s="50"/>
      <c r="R94" s="51" t="e">
        <f t="shared" si="0"/>
        <v>#N/A</v>
      </c>
      <c r="S94" s="52"/>
    </row>
    <row r="95" spans="1:19" ht="32" x14ac:dyDescent="0.2">
      <c r="A95" s="50">
        <v>109.273519163763</v>
      </c>
      <c r="B95" s="40" t="s">
        <v>7</v>
      </c>
      <c r="C95" s="41" t="s">
        <v>7</v>
      </c>
      <c r="D95" s="41" t="s">
        <v>0</v>
      </c>
      <c r="E95" s="41"/>
      <c r="F95" s="41"/>
      <c r="G95" s="43" t="s">
        <v>4</v>
      </c>
      <c r="H95" s="44" t="s">
        <v>183</v>
      </c>
      <c r="I95" s="45" t="s">
        <v>10</v>
      </c>
      <c r="J95" s="46" t="s">
        <v>20</v>
      </c>
      <c r="K95" s="47"/>
      <c r="L95" s="48"/>
      <c r="M95" s="49">
        <v>0</v>
      </c>
      <c r="N95" s="47"/>
      <c r="O95" s="48"/>
      <c r="P95" s="49">
        <v>0</v>
      </c>
      <c r="Q95" s="50"/>
      <c r="R95" s="51" t="e">
        <f t="shared" si="0"/>
        <v>#N/A</v>
      </c>
      <c r="S95" s="52"/>
    </row>
    <row r="96" spans="1:19" ht="16" x14ac:dyDescent="0.2">
      <c r="A96" s="50">
        <v>110.28832752613199</v>
      </c>
      <c r="B96" s="41" t="s">
        <v>16</v>
      </c>
      <c r="C96" s="41" t="s">
        <v>16</v>
      </c>
      <c r="D96" s="41" t="s">
        <v>0</v>
      </c>
      <c r="E96" s="41"/>
      <c r="F96" s="41"/>
      <c r="G96" s="43" t="s">
        <v>4</v>
      </c>
      <c r="H96" s="56" t="s">
        <v>184</v>
      </c>
      <c r="I96" s="45" t="s">
        <v>19</v>
      </c>
      <c r="J96" s="46" t="s">
        <v>2</v>
      </c>
      <c r="K96" s="47"/>
      <c r="L96" s="48"/>
      <c r="M96" s="49">
        <v>0</v>
      </c>
      <c r="N96" s="47"/>
      <c r="O96" s="48"/>
      <c r="P96" s="49">
        <v>0</v>
      </c>
      <c r="Q96" s="50"/>
      <c r="R96" s="51" t="e">
        <f t="shared" si="0"/>
        <v>#N/A</v>
      </c>
      <c r="S96" s="52"/>
    </row>
    <row r="97" spans="1:19" ht="16" x14ac:dyDescent="0.2">
      <c r="A97" s="50">
        <v>111.303135888502</v>
      </c>
      <c r="B97" s="41" t="s">
        <v>16</v>
      </c>
      <c r="C97" s="41" t="s">
        <v>16</v>
      </c>
      <c r="D97" s="41" t="s">
        <v>0</v>
      </c>
      <c r="E97" s="41"/>
      <c r="F97" s="41"/>
      <c r="G97" s="43" t="s">
        <v>4</v>
      </c>
      <c r="H97" s="56" t="s">
        <v>185</v>
      </c>
      <c r="I97" s="45" t="s">
        <v>19</v>
      </c>
      <c r="J97" s="46" t="s">
        <v>27</v>
      </c>
      <c r="K97" s="47"/>
      <c r="L97" s="48"/>
      <c r="M97" s="49">
        <v>0</v>
      </c>
      <c r="N97" s="47"/>
      <c r="O97" s="48"/>
      <c r="P97" s="49">
        <v>0</v>
      </c>
      <c r="Q97" s="50"/>
      <c r="R97" s="51" t="e">
        <f t="shared" si="0"/>
        <v>#N/A</v>
      </c>
      <c r="S97" s="52"/>
    </row>
    <row r="98" spans="1:19" ht="16" x14ac:dyDescent="0.2">
      <c r="A98" s="50">
        <v>112.31794425087099</v>
      </c>
      <c r="B98" s="41" t="s">
        <v>16</v>
      </c>
      <c r="C98" s="41" t="s">
        <v>16</v>
      </c>
      <c r="D98" s="41" t="s">
        <v>0</v>
      </c>
      <c r="E98" s="41"/>
      <c r="F98" s="41"/>
      <c r="G98" s="43" t="s">
        <v>4</v>
      </c>
      <c r="H98" s="56" t="s">
        <v>186</v>
      </c>
      <c r="I98" s="45" t="s">
        <v>19</v>
      </c>
      <c r="J98" s="46" t="s">
        <v>2</v>
      </c>
      <c r="K98" s="47"/>
      <c r="L98" s="48"/>
      <c r="M98" s="49">
        <v>0</v>
      </c>
      <c r="N98" s="47"/>
      <c r="O98" s="48"/>
      <c r="P98" s="49">
        <v>0</v>
      </c>
      <c r="Q98" s="50"/>
      <c r="R98" s="51" t="e">
        <f t="shared" si="0"/>
        <v>#N/A</v>
      </c>
      <c r="S98" s="52"/>
    </row>
    <row r="99" spans="1:19" ht="16" x14ac:dyDescent="0.2">
      <c r="A99" s="50">
        <v>113.33275261324</v>
      </c>
      <c r="B99" s="41" t="s">
        <v>16</v>
      </c>
      <c r="C99" s="41" t="s">
        <v>16</v>
      </c>
      <c r="D99" s="41" t="s">
        <v>0</v>
      </c>
      <c r="E99" s="41"/>
      <c r="F99" s="41"/>
      <c r="G99" s="43" t="s">
        <v>4</v>
      </c>
      <c r="H99" s="56" t="s">
        <v>187</v>
      </c>
      <c r="I99" s="45" t="s">
        <v>19</v>
      </c>
      <c r="J99" s="46" t="s">
        <v>2</v>
      </c>
      <c r="K99" s="47"/>
      <c r="L99" s="48"/>
      <c r="M99" s="49">
        <v>0</v>
      </c>
      <c r="N99" s="47"/>
      <c r="O99" s="48"/>
      <c r="P99" s="49">
        <v>0</v>
      </c>
      <c r="Q99" s="50"/>
      <c r="R99" s="51" t="e">
        <f t="shared" si="0"/>
        <v>#N/A</v>
      </c>
      <c r="S99" s="52"/>
    </row>
    <row r="100" spans="1:19" ht="16" x14ac:dyDescent="0.2">
      <c r="A100" s="50">
        <v>114.34756097560999</v>
      </c>
      <c r="B100" s="41" t="s">
        <v>16</v>
      </c>
      <c r="C100" s="41" t="s">
        <v>16</v>
      </c>
      <c r="D100" s="41" t="s">
        <v>0</v>
      </c>
      <c r="E100" s="41"/>
      <c r="F100" s="41"/>
      <c r="G100" s="43" t="s">
        <v>4</v>
      </c>
      <c r="H100" s="56" t="s">
        <v>188</v>
      </c>
      <c r="I100" s="45" t="s">
        <v>19</v>
      </c>
      <c r="J100" s="46" t="s">
        <v>2</v>
      </c>
      <c r="K100" s="47"/>
      <c r="L100" s="48"/>
      <c r="M100" s="49">
        <v>0</v>
      </c>
      <c r="N100" s="47"/>
      <c r="O100" s="48"/>
      <c r="P100" s="49">
        <v>0</v>
      </c>
      <c r="Q100" s="50"/>
      <c r="R100" s="51" t="e">
        <f t="shared" si="0"/>
        <v>#N/A</v>
      </c>
      <c r="S100" s="52"/>
    </row>
    <row r="101" spans="1:19" ht="32" x14ac:dyDescent="0.2">
      <c r="A101" s="50">
        <v>115.362369337979</v>
      </c>
      <c r="B101" s="41" t="s">
        <v>16</v>
      </c>
      <c r="C101" s="41" t="s">
        <v>16</v>
      </c>
      <c r="D101" s="41" t="s">
        <v>0</v>
      </c>
      <c r="E101" s="41"/>
      <c r="F101" s="41"/>
      <c r="G101" s="43" t="s">
        <v>4</v>
      </c>
      <c r="H101" s="56" t="s">
        <v>189</v>
      </c>
      <c r="I101" s="45" t="s">
        <v>1</v>
      </c>
      <c r="J101" s="46" t="s">
        <v>11</v>
      </c>
      <c r="K101" s="47"/>
      <c r="L101" s="48"/>
      <c r="M101" s="49">
        <v>0</v>
      </c>
      <c r="N101" s="47"/>
      <c r="O101" s="48"/>
      <c r="P101" s="49">
        <v>0</v>
      </c>
      <c r="Q101" s="50"/>
      <c r="R101" s="51" t="e">
        <f t="shared" si="0"/>
        <v>#N/A</v>
      </c>
      <c r="S101" s="52"/>
    </row>
    <row r="102" spans="1:19" ht="16" x14ac:dyDescent="0.2">
      <c r="A102" s="50">
        <v>116.377177700348</v>
      </c>
      <c r="B102" s="40" t="s">
        <v>7</v>
      </c>
      <c r="C102" s="41" t="s">
        <v>7</v>
      </c>
      <c r="D102" s="41" t="s">
        <v>0</v>
      </c>
      <c r="E102" s="41"/>
      <c r="F102" s="41"/>
      <c r="G102" s="43" t="s">
        <v>4</v>
      </c>
      <c r="H102" s="44" t="s">
        <v>190</v>
      </c>
      <c r="I102" s="45" t="s">
        <v>19</v>
      </c>
      <c r="J102" s="46" t="s">
        <v>2</v>
      </c>
      <c r="K102" s="47"/>
      <c r="L102" s="48"/>
      <c r="M102" s="49">
        <v>0</v>
      </c>
      <c r="N102" s="47"/>
      <c r="O102" s="48"/>
      <c r="P102" s="49">
        <v>0</v>
      </c>
      <c r="Q102" s="50"/>
      <c r="R102" s="51" t="e">
        <f t="shared" si="0"/>
        <v>#N/A</v>
      </c>
      <c r="S102" s="52"/>
    </row>
    <row r="103" spans="1:19" ht="16" x14ac:dyDescent="0.2">
      <c r="A103" s="50">
        <v>117.391986062718</v>
      </c>
      <c r="B103" s="41" t="s">
        <v>16</v>
      </c>
      <c r="C103" s="41" t="s">
        <v>16</v>
      </c>
      <c r="D103" s="41" t="s">
        <v>0</v>
      </c>
      <c r="E103" s="41"/>
      <c r="F103" s="41"/>
      <c r="G103" s="43" t="s">
        <v>4</v>
      </c>
      <c r="H103" s="56" t="s">
        <v>191</v>
      </c>
      <c r="I103" s="45" t="s">
        <v>19</v>
      </c>
      <c r="J103" s="46" t="s">
        <v>2</v>
      </c>
      <c r="K103" s="47"/>
      <c r="L103" s="48"/>
      <c r="M103" s="49">
        <v>0</v>
      </c>
      <c r="N103" s="47"/>
      <c r="O103" s="48"/>
      <c r="P103" s="49">
        <v>0</v>
      </c>
      <c r="Q103" s="50"/>
      <c r="R103" s="51" t="e">
        <f t="shared" si="0"/>
        <v>#N/A</v>
      </c>
      <c r="S103" s="52"/>
    </row>
    <row r="104" spans="1:19" ht="16" x14ac:dyDescent="0.2">
      <c r="A104" s="50">
        <v>118.406794425087</v>
      </c>
      <c r="B104" s="40" t="s">
        <v>7</v>
      </c>
      <c r="C104" s="41" t="s">
        <v>7</v>
      </c>
      <c r="D104" s="41" t="s">
        <v>0</v>
      </c>
      <c r="E104" s="41"/>
      <c r="F104" s="41"/>
      <c r="G104" s="43" t="s">
        <v>4</v>
      </c>
      <c r="H104" s="44" t="s">
        <v>192</v>
      </c>
      <c r="I104" s="45" t="s">
        <v>19</v>
      </c>
      <c r="J104" s="46" t="s">
        <v>2</v>
      </c>
      <c r="K104" s="47"/>
      <c r="L104" s="48"/>
      <c r="M104" s="49">
        <v>0</v>
      </c>
      <c r="N104" s="47"/>
      <c r="O104" s="48"/>
      <c r="P104" s="49">
        <v>0</v>
      </c>
      <c r="Q104" s="50"/>
      <c r="R104" s="51" t="e">
        <f t="shared" si="0"/>
        <v>#N/A</v>
      </c>
      <c r="S104" s="52"/>
    </row>
    <row r="105" spans="1:19" ht="16" x14ac:dyDescent="0.2">
      <c r="A105" s="50">
        <v>119.421602787456</v>
      </c>
      <c r="B105" s="41" t="s">
        <v>16</v>
      </c>
      <c r="C105" s="41" t="s">
        <v>16</v>
      </c>
      <c r="D105" s="41" t="s">
        <v>0</v>
      </c>
      <c r="E105" s="41"/>
      <c r="F105" s="41"/>
      <c r="G105" s="43" t="s">
        <v>4</v>
      </c>
      <c r="H105" s="56" t="s">
        <v>193</v>
      </c>
      <c r="I105" s="45" t="s">
        <v>19</v>
      </c>
      <c r="J105" s="46" t="s">
        <v>2</v>
      </c>
      <c r="K105" s="47"/>
      <c r="L105" s="48"/>
      <c r="M105" s="49">
        <v>0</v>
      </c>
      <c r="N105" s="47"/>
      <c r="O105" s="48"/>
      <c r="P105" s="49">
        <v>0</v>
      </c>
      <c r="Q105" s="50"/>
      <c r="R105" s="51" t="e">
        <f t="shared" si="0"/>
        <v>#N/A</v>
      </c>
      <c r="S105" s="52"/>
    </row>
    <row r="106" spans="1:19" ht="32" x14ac:dyDescent="0.2">
      <c r="A106" s="50">
        <v>120.436411149826</v>
      </c>
      <c r="B106" s="40" t="s">
        <v>7</v>
      </c>
      <c r="C106" s="41" t="s">
        <v>7</v>
      </c>
      <c r="D106" s="41" t="s">
        <v>0</v>
      </c>
      <c r="E106" s="41"/>
      <c r="F106" s="41"/>
      <c r="G106" s="43" t="s">
        <v>4</v>
      </c>
      <c r="H106" s="44" t="s">
        <v>194</v>
      </c>
      <c r="I106" s="45" t="s">
        <v>1</v>
      </c>
      <c r="J106" s="46" t="s">
        <v>11</v>
      </c>
      <c r="K106" s="47"/>
      <c r="L106" s="48"/>
      <c r="M106" s="49">
        <v>0</v>
      </c>
      <c r="N106" s="47"/>
      <c r="O106" s="48"/>
      <c r="P106" s="49">
        <v>0</v>
      </c>
      <c r="Q106" s="50"/>
      <c r="R106" s="51" t="e">
        <f t="shared" si="0"/>
        <v>#N/A</v>
      </c>
      <c r="S106" s="52"/>
    </row>
    <row r="107" spans="1:19" ht="32" x14ac:dyDescent="0.2">
      <c r="A107" s="50">
        <v>121.451219512195</v>
      </c>
      <c r="B107" s="40" t="s">
        <v>7</v>
      </c>
      <c r="C107" s="41" t="s">
        <v>7</v>
      </c>
      <c r="D107" s="41" t="s">
        <v>0</v>
      </c>
      <c r="E107" s="41"/>
      <c r="F107" s="41"/>
      <c r="G107" s="43" t="s">
        <v>4</v>
      </c>
      <c r="H107" s="44" t="s">
        <v>195</v>
      </c>
      <c r="I107" s="45" t="s">
        <v>1</v>
      </c>
      <c r="J107" s="46" t="s">
        <v>11</v>
      </c>
      <c r="K107" s="47"/>
      <c r="L107" s="48"/>
      <c r="M107" s="49">
        <v>0</v>
      </c>
      <c r="N107" s="47"/>
      <c r="O107" s="48"/>
      <c r="P107" s="49">
        <v>0</v>
      </c>
      <c r="Q107" s="50"/>
      <c r="R107" s="51" t="e">
        <f t="shared" si="0"/>
        <v>#N/A</v>
      </c>
      <c r="S107" s="52"/>
    </row>
    <row r="108" spans="1:19" ht="16" x14ac:dyDescent="0.2">
      <c r="A108" s="50">
        <v>122.46602787456401</v>
      </c>
      <c r="B108" s="40" t="s">
        <v>7</v>
      </c>
      <c r="C108" s="41" t="s">
        <v>7</v>
      </c>
      <c r="D108" s="41" t="s">
        <v>0</v>
      </c>
      <c r="E108" s="41"/>
      <c r="F108" s="41"/>
      <c r="G108" s="43" t="s">
        <v>4</v>
      </c>
      <c r="H108" s="44" t="s">
        <v>196</v>
      </c>
      <c r="I108" s="45" t="s">
        <v>19</v>
      </c>
      <c r="J108" s="46" t="s">
        <v>27</v>
      </c>
      <c r="K108" s="47"/>
      <c r="L108" s="48"/>
      <c r="M108" s="49">
        <v>0</v>
      </c>
      <c r="N108" s="47"/>
      <c r="O108" s="48"/>
      <c r="P108" s="49">
        <v>0</v>
      </c>
      <c r="Q108" s="50"/>
      <c r="R108" s="51" t="e">
        <f t="shared" si="0"/>
        <v>#N/A</v>
      </c>
      <c r="S108" s="52"/>
    </row>
    <row r="109" spans="1:19" ht="16" x14ac:dyDescent="0.2">
      <c r="A109" s="50">
        <v>123.480836236934</v>
      </c>
      <c r="B109" s="40" t="s">
        <v>7</v>
      </c>
      <c r="C109" s="41" t="s">
        <v>7</v>
      </c>
      <c r="D109" s="41" t="s">
        <v>0</v>
      </c>
      <c r="E109" s="41"/>
      <c r="F109" s="41"/>
      <c r="G109" s="43" t="s">
        <v>4</v>
      </c>
      <c r="H109" s="44" t="s">
        <v>197</v>
      </c>
      <c r="I109" s="45" t="s">
        <v>19</v>
      </c>
      <c r="J109" s="46" t="s">
        <v>2</v>
      </c>
      <c r="K109" s="47"/>
      <c r="L109" s="48"/>
      <c r="M109" s="49">
        <v>0</v>
      </c>
      <c r="N109" s="47"/>
      <c r="O109" s="48"/>
      <c r="P109" s="49">
        <v>0</v>
      </c>
      <c r="Q109" s="50"/>
      <c r="R109" s="51" t="e">
        <f t="shared" si="0"/>
        <v>#N/A</v>
      </c>
      <c r="S109" s="52"/>
    </row>
    <row r="110" spans="1:19" ht="16" x14ac:dyDescent="0.2">
      <c r="A110" s="50">
        <v>124.49564459930301</v>
      </c>
      <c r="B110" s="41" t="s">
        <v>16</v>
      </c>
      <c r="C110" s="41" t="s">
        <v>16</v>
      </c>
      <c r="D110" s="41" t="s">
        <v>0</v>
      </c>
      <c r="E110" s="41"/>
      <c r="F110" s="41"/>
      <c r="G110" s="43" t="s">
        <v>4</v>
      </c>
      <c r="H110" s="56" t="s">
        <v>198</v>
      </c>
      <c r="I110" s="45" t="s">
        <v>19</v>
      </c>
      <c r="J110" s="46" t="s">
        <v>27</v>
      </c>
      <c r="K110" s="47"/>
      <c r="L110" s="48"/>
      <c r="M110" s="49">
        <v>0</v>
      </c>
      <c r="N110" s="47"/>
      <c r="O110" s="48"/>
      <c r="P110" s="49">
        <v>0</v>
      </c>
      <c r="Q110" s="50"/>
      <c r="R110" s="51" t="e">
        <f t="shared" si="0"/>
        <v>#N/A</v>
      </c>
      <c r="S110" s="52"/>
    </row>
    <row r="111" spans="1:19" ht="16" x14ac:dyDescent="0.2">
      <c r="A111" s="50">
        <v>125.510452961672</v>
      </c>
      <c r="B111" s="41" t="s">
        <v>16</v>
      </c>
      <c r="C111" s="41" t="s">
        <v>16</v>
      </c>
      <c r="D111" s="41" t="s">
        <v>0</v>
      </c>
      <c r="E111" s="41"/>
      <c r="F111" s="41"/>
      <c r="G111" s="43" t="s">
        <v>4</v>
      </c>
      <c r="H111" s="56" t="s">
        <v>199</v>
      </c>
      <c r="I111" s="45" t="s">
        <v>19</v>
      </c>
      <c r="J111" s="46" t="s">
        <v>27</v>
      </c>
      <c r="K111" s="47"/>
      <c r="L111" s="48"/>
      <c r="M111" s="49">
        <v>0</v>
      </c>
      <c r="N111" s="47"/>
      <c r="O111" s="48"/>
      <c r="P111" s="49">
        <v>0</v>
      </c>
      <c r="Q111" s="50"/>
      <c r="R111" s="51" t="e">
        <f t="shared" si="0"/>
        <v>#N/A</v>
      </c>
      <c r="S111" s="52"/>
    </row>
    <row r="112" spans="1:19" ht="16" x14ac:dyDescent="0.2">
      <c r="A112" s="50">
        <v>126.52526132404201</v>
      </c>
      <c r="B112" s="40" t="s">
        <v>7</v>
      </c>
      <c r="C112" s="41" t="s">
        <v>7</v>
      </c>
      <c r="D112" s="41" t="s">
        <v>0</v>
      </c>
      <c r="E112" s="41"/>
      <c r="F112" s="41"/>
      <c r="G112" s="43" t="s">
        <v>4</v>
      </c>
      <c r="H112" s="44" t="s">
        <v>200</v>
      </c>
      <c r="I112" s="45" t="s">
        <v>19</v>
      </c>
      <c r="J112" s="46" t="s">
        <v>2</v>
      </c>
      <c r="K112" s="47"/>
      <c r="L112" s="48"/>
      <c r="M112" s="49">
        <v>0</v>
      </c>
      <c r="N112" s="47"/>
      <c r="O112" s="48"/>
      <c r="P112" s="49">
        <v>0</v>
      </c>
      <c r="Q112" s="50"/>
      <c r="R112" s="51" t="e">
        <f t="shared" si="0"/>
        <v>#N/A</v>
      </c>
      <c r="S112" s="52"/>
    </row>
    <row r="113" spans="1:19" ht="16" x14ac:dyDescent="0.2">
      <c r="A113" s="50">
        <v>127.540069686411</v>
      </c>
      <c r="B113" s="41" t="s">
        <v>16</v>
      </c>
      <c r="C113" s="41" t="s">
        <v>16</v>
      </c>
      <c r="D113" s="41" t="s">
        <v>0</v>
      </c>
      <c r="E113" s="41"/>
      <c r="F113" s="41"/>
      <c r="G113" s="43" t="s">
        <v>4</v>
      </c>
      <c r="H113" s="56" t="s">
        <v>201</v>
      </c>
      <c r="I113" s="45" t="s">
        <v>19</v>
      </c>
      <c r="J113" s="46" t="s">
        <v>27</v>
      </c>
      <c r="K113" s="47"/>
      <c r="L113" s="48"/>
      <c r="M113" s="49">
        <v>0</v>
      </c>
      <c r="N113" s="47"/>
      <c r="O113" s="48"/>
      <c r="P113" s="49">
        <v>0</v>
      </c>
      <c r="Q113" s="50"/>
      <c r="R113" s="51" t="e">
        <f t="shared" si="0"/>
        <v>#N/A</v>
      </c>
      <c r="S113" s="52"/>
    </row>
    <row r="114" spans="1:19" ht="16" x14ac:dyDescent="0.2">
      <c r="A114" s="50">
        <v>128.55487804878001</v>
      </c>
      <c r="B114" s="40" t="s">
        <v>7</v>
      </c>
      <c r="C114" s="41" t="s">
        <v>7</v>
      </c>
      <c r="D114" s="41" t="s">
        <v>0</v>
      </c>
      <c r="E114" s="41"/>
      <c r="F114" s="41"/>
      <c r="G114" s="43" t="s">
        <v>4</v>
      </c>
      <c r="H114" s="44" t="s">
        <v>202</v>
      </c>
      <c r="I114" s="45" t="s">
        <v>19</v>
      </c>
      <c r="J114" s="46" t="s">
        <v>2</v>
      </c>
      <c r="K114" s="47"/>
      <c r="L114" s="48"/>
      <c r="M114" s="49">
        <v>0</v>
      </c>
      <c r="N114" s="47"/>
      <c r="O114" s="48"/>
      <c r="P114" s="49">
        <v>0</v>
      </c>
      <c r="Q114" s="50"/>
      <c r="R114" s="51" t="e">
        <f t="shared" si="0"/>
        <v>#N/A</v>
      </c>
      <c r="S114" s="52"/>
    </row>
    <row r="115" spans="1:19" ht="16" x14ac:dyDescent="0.2">
      <c r="A115" s="50">
        <v>129.56968641115</v>
      </c>
      <c r="B115" s="41" t="s">
        <v>16</v>
      </c>
      <c r="C115" s="41" t="s">
        <v>16</v>
      </c>
      <c r="D115" s="41" t="s">
        <v>0</v>
      </c>
      <c r="E115" s="41"/>
      <c r="F115" s="41"/>
      <c r="G115" s="43" t="s">
        <v>4</v>
      </c>
      <c r="H115" s="56" t="s">
        <v>203</v>
      </c>
      <c r="I115" s="45" t="s">
        <v>19</v>
      </c>
      <c r="J115" s="46" t="s">
        <v>27</v>
      </c>
      <c r="K115" s="47"/>
      <c r="L115" s="48"/>
      <c r="M115" s="49">
        <v>0</v>
      </c>
      <c r="N115" s="47"/>
      <c r="O115" s="48"/>
      <c r="P115" s="49">
        <v>0</v>
      </c>
      <c r="Q115" s="50"/>
      <c r="R115" s="51" t="e">
        <f t="shared" si="0"/>
        <v>#N/A</v>
      </c>
      <c r="S115" s="52"/>
    </row>
    <row r="116" spans="1:19" ht="16" x14ac:dyDescent="0.2">
      <c r="A116" s="50">
        <v>130.584494773519</v>
      </c>
      <c r="B116" s="40" t="s">
        <v>7</v>
      </c>
      <c r="C116" s="41" t="s">
        <v>7</v>
      </c>
      <c r="D116" s="41" t="s">
        <v>0</v>
      </c>
      <c r="E116" s="41"/>
      <c r="F116" s="41"/>
      <c r="G116" s="43" t="s">
        <v>4</v>
      </c>
      <c r="H116" s="44" t="s">
        <v>204</v>
      </c>
      <c r="I116" s="45" t="s">
        <v>19</v>
      </c>
      <c r="J116" s="46" t="s">
        <v>27</v>
      </c>
      <c r="K116" s="47"/>
      <c r="L116" s="48"/>
      <c r="M116" s="49">
        <v>0</v>
      </c>
      <c r="N116" s="47"/>
      <c r="O116" s="48"/>
      <c r="P116" s="49">
        <v>0</v>
      </c>
      <c r="Q116" s="50"/>
      <c r="R116" s="51" t="e">
        <f t="shared" si="0"/>
        <v>#N/A</v>
      </c>
      <c r="S116" s="52"/>
    </row>
    <row r="117" spans="1:19" ht="16" x14ac:dyDescent="0.2">
      <c r="A117" s="50">
        <v>131.59930313588799</v>
      </c>
      <c r="B117" s="40" t="s">
        <v>7</v>
      </c>
      <c r="C117" s="41" t="s">
        <v>7</v>
      </c>
      <c r="D117" s="41" t="s">
        <v>0</v>
      </c>
      <c r="E117" s="41"/>
      <c r="F117" s="41"/>
      <c r="G117" s="43" t="s">
        <v>4</v>
      </c>
      <c r="H117" s="44" t="s">
        <v>205</v>
      </c>
      <c r="I117" s="45" t="s">
        <v>19</v>
      </c>
      <c r="J117" s="46" t="s">
        <v>27</v>
      </c>
      <c r="K117" s="47"/>
      <c r="L117" s="48"/>
      <c r="M117" s="49">
        <v>0</v>
      </c>
      <c r="N117" s="47"/>
      <c r="O117" s="48"/>
      <c r="P117" s="49">
        <v>0</v>
      </c>
      <c r="Q117" s="50"/>
      <c r="R117" s="51" t="e">
        <f t="shared" si="0"/>
        <v>#N/A</v>
      </c>
      <c r="S117" s="52"/>
    </row>
    <row r="118" spans="1:19" ht="16" x14ac:dyDescent="0.2">
      <c r="A118" s="50">
        <v>132.61411149825801</v>
      </c>
      <c r="B118" s="40" t="s">
        <v>7</v>
      </c>
      <c r="C118" s="41" t="s">
        <v>7</v>
      </c>
      <c r="D118" s="41" t="s">
        <v>0</v>
      </c>
      <c r="E118" s="41"/>
      <c r="F118" s="41"/>
      <c r="G118" s="43" t="s">
        <v>4</v>
      </c>
      <c r="H118" s="44" t="s">
        <v>206</v>
      </c>
      <c r="I118" s="45" t="s">
        <v>19</v>
      </c>
      <c r="J118" s="46" t="s">
        <v>2</v>
      </c>
      <c r="K118" s="47"/>
      <c r="L118" s="48"/>
      <c r="M118" s="49">
        <v>0</v>
      </c>
      <c r="N118" s="47"/>
      <c r="O118" s="48"/>
      <c r="P118" s="49">
        <v>0</v>
      </c>
      <c r="Q118" s="50"/>
      <c r="R118" s="51" t="e">
        <f t="shared" si="0"/>
        <v>#N/A</v>
      </c>
      <c r="S118" s="52"/>
    </row>
    <row r="119" spans="1:19" ht="32" x14ac:dyDescent="0.2">
      <c r="A119" s="50">
        <v>133.62891986062701</v>
      </c>
      <c r="B119" s="40" t="s">
        <v>7</v>
      </c>
      <c r="C119" s="41" t="s">
        <v>7</v>
      </c>
      <c r="D119" s="41" t="s">
        <v>0</v>
      </c>
      <c r="E119" s="41"/>
      <c r="F119" s="41"/>
      <c r="G119" s="43" t="s">
        <v>4</v>
      </c>
      <c r="H119" s="44" t="s">
        <v>207</v>
      </c>
      <c r="I119" s="45" t="s">
        <v>19</v>
      </c>
      <c r="J119" s="46" t="s">
        <v>2</v>
      </c>
      <c r="K119" s="47"/>
      <c r="L119" s="48"/>
      <c r="M119" s="49">
        <v>0</v>
      </c>
      <c r="N119" s="47"/>
      <c r="O119" s="48"/>
      <c r="P119" s="49">
        <v>0</v>
      </c>
      <c r="Q119" s="50"/>
      <c r="R119" s="51" t="e">
        <f t="shared" si="0"/>
        <v>#N/A</v>
      </c>
      <c r="S119" s="52"/>
    </row>
    <row r="120" spans="1:19" ht="16" x14ac:dyDescent="0.2">
      <c r="A120" s="50">
        <v>134.643728222996</v>
      </c>
      <c r="B120" s="40" t="s">
        <v>7</v>
      </c>
      <c r="C120" s="41" t="s">
        <v>7</v>
      </c>
      <c r="D120" s="41" t="s">
        <v>0</v>
      </c>
      <c r="E120" s="41"/>
      <c r="F120" s="41"/>
      <c r="G120" s="43" t="s">
        <v>4</v>
      </c>
      <c r="H120" s="44" t="s">
        <v>208</v>
      </c>
      <c r="I120" s="45" t="s">
        <v>19</v>
      </c>
      <c r="J120" s="46" t="s">
        <v>2</v>
      </c>
      <c r="K120" s="47"/>
      <c r="L120" s="48"/>
      <c r="M120" s="49">
        <v>0</v>
      </c>
      <c r="N120" s="47"/>
      <c r="O120" s="48"/>
      <c r="P120" s="49">
        <v>0</v>
      </c>
      <c r="Q120" s="50"/>
      <c r="R120" s="51" t="e">
        <f t="shared" si="0"/>
        <v>#N/A</v>
      </c>
      <c r="S120" s="52"/>
    </row>
    <row r="121" spans="1:19" ht="32" x14ac:dyDescent="0.2">
      <c r="A121" s="50">
        <v>135.65853658536599</v>
      </c>
      <c r="B121" s="40" t="s">
        <v>7</v>
      </c>
      <c r="C121" s="41" t="s">
        <v>7</v>
      </c>
      <c r="D121" s="41" t="s">
        <v>0</v>
      </c>
      <c r="E121" s="41"/>
      <c r="F121" s="41"/>
      <c r="G121" s="43" t="s">
        <v>4</v>
      </c>
      <c r="H121" s="44" t="s">
        <v>209</v>
      </c>
      <c r="I121" s="45" t="s">
        <v>1</v>
      </c>
      <c r="J121" s="46" t="s">
        <v>11</v>
      </c>
      <c r="K121" s="47"/>
      <c r="L121" s="48"/>
      <c r="M121" s="49">
        <v>0</v>
      </c>
      <c r="N121" s="47"/>
      <c r="O121" s="48"/>
      <c r="P121" s="49">
        <v>0</v>
      </c>
      <c r="Q121" s="50"/>
      <c r="R121" s="51" t="e">
        <f t="shared" si="0"/>
        <v>#N/A</v>
      </c>
      <c r="S121" s="52"/>
    </row>
    <row r="122" spans="1:19" ht="16" x14ac:dyDescent="0.2">
      <c r="A122" s="50">
        <v>136.67334494773499</v>
      </c>
      <c r="B122" s="40" t="s">
        <v>7</v>
      </c>
      <c r="C122" s="41" t="s">
        <v>7</v>
      </c>
      <c r="D122" s="41" t="s">
        <v>0</v>
      </c>
      <c r="E122" s="41"/>
      <c r="F122" s="41"/>
      <c r="G122" s="43" t="s">
        <v>4</v>
      </c>
      <c r="H122" s="44" t="s">
        <v>210</v>
      </c>
      <c r="I122" s="45" t="s">
        <v>19</v>
      </c>
      <c r="J122" s="46" t="s">
        <v>2</v>
      </c>
      <c r="K122" s="47"/>
      <c r="L122" s="48"/>
      <c r="M122" s="49">
        <v>0</v>
      </c>
      <c r="N122" s="47"/>
      <c r="O122" s="48"/>
      <c r="P122" s="49">
        <v>0</v>
      </c>
      <c r="Q122" s="50"/>
      <c r="R122" s="51" t="e">
        <f t="shared" si="0"/>
        <v>#N/A</v>
      </c>
      <c r="S122" s="52"/>
    </row>
    <row r="123" spans="1:19" ht="32" x14ac:dyDescent="0.2">
      <c r="A123" s="50">
        <v>137.68815331010401</v>
      </c>
      <c r="B123" s="40" t="s">
        <v>7</v>
      </c>
      <c r="C123" s="41" t="s">
        <v>7</v>
      </c>
      <c r="D123" s="41" t="s">
        <v>0</v>
      </c>
      <c r="E123" s="41"/>
      <c r="F123" s="41"/>
      <c r="G123" s="43" t="s">
        <v>4</v>
      </c>
      <c r="H123" s="44" t="s">
        <v>211</v>
      </c>
      <c r="I123" s="45" t="s">
        <v>1</v>
      </c>
      <c r="J123" s="46" t="s">
        <v>11</v>
      </c>
      <c r="K123" s="47"/>
      <c r="L123" s="48"/>
      <c r="M123" s="49">
        <v>0</v>
      </c>
      <c r="N123" s="47"/>
      <c r="O123" s="48"/>
      <c r="P123" s="49">
        <v>0</v>
      </c>
      <c r="Q123" s="50"/>
      <c r="R123" s="51" t="e">
        <f t="shared" si="0"/>
        <v>#N/A</v>
      </c>
      <c r="S123" s="52"/>
    </row>
    <row r="124" spans="1:19" ht="32" x14ac:dyDescent="0.2">
      <c r="A124" s="50">
        <v>138.702961672474</v>
      </c>
      <c r="B124" s="41" t="s">
        <v>16</v>
      </c>
      <c r="C124" s="41" t="s">
        <v>16</v>
      </c>
      <c r="D124" s="41" t="s">
        <v>0</v>
      </c>
      <c r="E124" s="41"/>
      <c r="F124" s="41"/>
      <c r="G124" s="43" t="s">
        <v>4</v>
      </c>
      <c r="H124" s="56" t="s">
        <v>212</v>
      </c>
      <c r="I124" s="45" t="s">
        <v>19</v>
      </c>
      <c r="J124" s="46" t="s">
        <v>27</v>
      </c>
      <c r="K124" s="47"/>
      <c r="L124" s="48"/>
      <c r="M124" s="49">
        <v>0</v>
      </c>
      <c r="N124" s="47"/>
      <c r="O124" s="48"/>
      <c r="P124" s="49">
        <v>0</v>
      </c>
      <c r="Q124" s="50"/>
      <c r="R124" s="51" t="e">
        <f t="shared" si="0"/>
        <v>#N/A</v>
      </c>
      <c r="S124" s="52"/>
    </row>
    <row r="125" spans="1:19" ht="16" x14ac:dyDescent="0.2">
      <c r="A125" s="50">
        <v>139.717770034843</v>
      </c>
      <c r="B125" s="40" t="s">
        <v>7</v>
      </c>
      <c r="C125" s="41" t="s">
        <v>7</v>
      </c>
      <c r="D125" s="41" t="s">
        <v>0</v>
      </c>
      <c r="E125" s="41"/>
      <c r="F125" s="41"/>
      <c r="G125" s="43" t="s">
        <v>4</v>
      </c>
      <c r="H125" s="44" t="s">
        <v>213</v>
      </c>
      <c r="I125" s="45" t="s">
        <v>19</v>
      </c>
      <c r="J125" s="46" t="s">
        <v>2</v>
      </c>
      <c r="K125" s="47"/>
      <c r="L125" s="48"/>
      <c r="M125" s="49">
        <v>0</v>
      </c>
      <c r="N125" s="47"/>
      <c r="O125" s="48"/>
      <c r="P125" s="49">
        <v>0</v>
      </c>
      <c r="Q125" s="50"/>
      <c r="R125" s="51" t="e">
        <f t="shared" si="0"/>
        <v>#N/A</v>
      </c>
      <c r="S125" s="52"/>
    </row>
    <row r="126" spans="1:19" ht="32" x14ac:dyDescent="0.2">
      <c r="A126" s="50">
        <v>140.732578397212</v>
      </c>
      <c r="B126" s="40" t="s">
        <v>7</v>
      </c>
      <c r="C126" s="41" t="s">
        <v>7</v>
      </c>
      <c r="D126" s="41" t="s">
        <v>0</v>
      </c>
      <c r="E126" s="41"/>
      <c r="F126" s="41"/>
      <c r="G126" s="43" t="s">
        <v>4</v>
      </c>
      <c r="H126" s="44" t="s">
        <v>214</v>
      </c>
      <c r="I126" s="45" t="s">
        <v>1</v>
      </c>
      <c r="J126" s="46" t="s">
        <v>11</v>
      </c>
      <c r="K126" s="47"/>
      <c r="L126" s="48"/>
      <c r="M126" s="49">
        <v>0</v>
      </c>
      <c r="N126" s="47"/>
      <c r="O126" s="48"/>
      <c r="P126" s="49">
        <v>0</v>
      </c>
      <c r="Q126" s="50"/>
      <c r="R126" s="51" t="e">
        <f t="shared" si="0"/>
        <v>#N/A</v>
      </c>
      <c r="S126" s="52"/>
    </row>
    <row r="127" spans="1:19" ht="32" x14ac:dyDescent="0.2">
      <c r="A127" s="50">
        <v>141.74738675958201</v>
      </c>
      <c r="B127" s="41" t="s">
        <v>16</v>
      </c>
      <c r="C127" s="41" t="s">
        <v>16</v>
      </c>
      <c r="D127" s="41" t="s">
        <v>0</v>
      </c>
      <c r="E127" s="41"/>
      <c r="F127" s="41"/>
      <c r="G127" s="43" t="s">
        <v>4</v>
      </c>
      <c r="H127" s="56" t="s">
        <v>215</v>
      </c>
      <c r="I127" s="45" t="s">
        <v>19</v>
      </c>
      <c r="J127" s="46" t="s">
        <v>44</v>
      </c>
      <c r="K127" s="47"/>
      <c r="L127" s="48"/>
      <c r="M127" s="49">
        <v>0</v>
      </c>
      <c r="N127" s="47"/>
      <c r="O127" s="48"/>
      <c r="P127" s="49">
        <v>0</v>
      </c>
      <c r="Q127" s="50"/>
      <c r="R127" s="51" t="e">
        <f t="shared" si="0"/>
        <v>#N/A</v>
      </c>
      <c r="S127" s="52"/>
    </row>
    <row r="128" spans="1:19" ht="16" x14ac:dyDescent="0.2">
      <c r="A128" s="50">
        <v>142.76219512195101</v>
      </c>
      <c r="B128" s="41" t="s">
        <v>16</v>
      </c>
      <c r="C128" s="41" t="s">
        <v>16</v>
      </c>
      <c r="D128" s="41" t="s">
        <v>0</v>
      </c>
      <c r="E128" s="41"/>
      <c r="F128" s="41"/>
      <c r="G128" s="43" t="s">
        <v>4</v>
      </c>
      <c r="H128" s="56" t="s">
        <v>216</v>
      </c>
      <c r="I128" s="45" t="s">
        <v>19</v>
      </c>
      <c r="J128" s="46" t="s">
        <v>27</v>
      </c>
      <c r="K128" s="47"/>
      <c r="L128" s="48"/>
      <c r="M128" s="49">
        <v>0</v>
      </c>
      <c r="N128" s="47"/>
      <c r="O128" s="48"/>
      <c r="P128" s="49">
        <v>0</v>
      </c>
      <c r="Q128" s="50"/>
      <c r="R128" s="51" t="e">
        <f t="shared" si="0"/>
        <v>#N/A</v>
      </c>
      <c r="S128" s="52"/>
    </row>
    <row r="129" spans="1:19" ht="16" x14ac:dyDescent="0.2">
      <c r="A129" s="50">
        <v>143.77700348432001</v>
      </c>
      <c r="B129" s="41" t="s">
        <v>16</v>
      </c>
      <c r="C129" s="41" t="s">
        <v>16</v>
      </c>
      <c r="D129" s="41" t="s">
        <v>0</v>
      </c>
      <c r="E129" s="41"/>
      <c r="F129" s="41"/>
      <c r="G129" s="43" t="s">
        <v>4</v>
      </c>
      <c r="H129" s="56" t="s">
        <v>217</v>
      </c>
      <c r="I129" s="45" t="s">
        <v>19</v>
      </c>
      <c r="J129" s="46" t="s">
        <v>2</v>
      </c>
      <c r="K129" s="47"/>
      <c r="L129" s="48"/>
      <c r="M129" s="49">
        <v>0</v>
      </c>
      <c r="N129" s="47"/>
      <c r="O129" s="48"/>
      <c r="P129" s="49">
        <v>0</v>
      </c>
      <c r="Q129" s="50"/>
      <c r="R129" s="51" t="e">
        <f t="shared" si="0"/>
        <v>#N/A</v>
      </c>
      <c r="S129" s="52"/>
    </row>
    <row r="130" spans="1:19" ht="16" x14ac:dyDescent="0.2">
      <c r="A130" s="50">
        <v>144.79181184669</v>
      </c>
      <c r="B130" s="40" t="s">
        <v>7</v>
      </c>
      <c r="C130" s="41" t="s">
        <v>7</v>
      </c>
      <c r="D130" s="41" t="s">
        <v>0</v>
      </c>
      <c r="E130" s="41"/>
      <c r="F130" s="41"/>
      <c r="G130" s="43" t="s">
        <v>4</v>
      </c>
      <c r="H130" s="44" t="s">
        <v>218</v>
      </c>
      <c r="I130" s="45" t="s">
        <v>19</v>
      </c>
      <c r="J130" s="46" t="s">
        <v>2</v>
      </c>
      <c r="K130" s="47"/>
      <c r="L130" s="48"/>
      <c r="M130" s="49">
        <v>0</v>
      </c>
      <c r="N130" s="47"/>
      <c r="O130" s="48"/>
      <c r="P130" s="49">
        <v>0</v>
      </c>
      <c r="Q130" s="50"/>
      <c r="R130" s="51" t="e">
        <f t="shared" si="0"/>
        <v>#N/A</v>
      </c>
      <c r="S130" s="52"/>
    </row>
    <row r="131" spans="1:19" ht="32" x14ac:dyDescent="0.2">
      <c r="A131" s="50">
        <v>26</v>
      </c>
      <c r="B131" s="41" t="s">
        <v>16</v>
      </c>
      <c r="C131" s="41" t="s">
        <v>7</v>
      </c>
      <c r="D131" s="41" t="s">
        <v>9</v>
      </c>
      <c r="E131" s="42">
        <v>705</v>
      </c>
      <c r="F131" s="41"/>
      <c r="G131" s="43" t="str">
        <f>'[1]705'!D69</f>
        <v>PENDING</v>
      </c>
      <c r="H131" s="56" t="s">
        <v>219</v>
      </c>
      <c r="I131" s="45" t="s">
        <v>10</v>
      </c>
      <c r="J131" s="46" t="s">
        <v>11</v>
      </c>
      <c r="K131" s="47" t="str">
        <f>'[1]705'!E67</f>
        <v>NA</v>
      </c>
      <c r="L131" s="48" t="str">
        <f>'[1]705'!D67</f>
        <v>P.I. RECEIVED</v>
      </c>
      <c r="M131" s="49">
        <v>0</v>
      </c>
      <c r="N131" s="47" t="str">
        <f>'[1]705'!E68</f>
        <v>NA</v>
      </c>
      <c r="O131" s="48" t="str">
        <f>'[1]705'!D68</f>
        <v>P.O. ISSUED</v>
      </c>
      <c r="P131" s="49">
        <v>0</v>
      </c>
      <c r="Q131" s="50"/>
      <c r="R131" s="51" t="e">
        <f t="shared" si="0"/>
        <v>#N/A</v>
      </c>
      <c r="S131" s="52"/>
    </row>
    <row r="132" spans="1:19" ht="16" x14ac:dyDescent="0.2">
      <c r="A132" s="50">
        <v>51.4294425087108</v>
      </c>
      <c r="B132" s="40" t="s">
        <v>7</v>
      </c>
      <c r="C132" s="41" t="s">
        <v>7</v>
      </c>
      <c r="D132" s="41" t="s">
        <v>9</v>
      </c>
      <c r="E132" s="42" t="s">
        <v>220</v>
      </c>
      <c r="F132" s="41"/>
      <c r="G132" s="43" t="str">
        <f>'[1]710 (1)'!D50</f>
        <v>PENDING</v>
      </c>
      <c r="H132" s="44" t="s">
        <v>221</v>
      </c>
      <c r="I132" s="45" t="s">
        <v>19</v>
      </c>
      <c r="J132" s="46" t="s">
        <v>27</v>
      </c>
      <c r="K132" s="47" t="str">
        <f>'[1]710 (1)'!E48</f>
        <v>NA</v>
      </c>
      <c r="L132" s="48" t="str">
        <f>'[1]710 (1)'!D48</f>
        <v>P.I. RECEIVED</v>
      </c>
      <c r="M132" s="49">
        <v>0</v>
      </c>
      <c r="N132" s="47" t="str">
        <f>'[1]710 (1)'!E49</f>
        <v>NA</v>
      </c>
      <c r="O132" s="48" t="str">
        <f>'[1]710 (1)'!D49</f>
        <v>P.O. ISSUED</v>
      </c>
      <c r="P132" s="49">
        <v>0</v>
      </c>
      <c r="Q132" s="50"/>
      <c r="R132" s="51" t="e">
        <f t="shared" si="0"/>
        <v>#N/A</v>
      </c>
      <c r="S132" s="52"/>
    </row>
    <row r="133" spans="1:19" ht="16" x14ac:dyDescent="0.2">
      <c r="A133" s="50">
        <v>52.444250871080101</v>
      </c>
      <c r="B133" s="40" t="s">
        <v>7</v>
      </c>
      <c r="C133" s="41" t="s">
        <v>7</v>
      </c>
      <c r="D133" s="41" t="s">
        <v>9</v>
      </c>
      <c r="E133" s="42" t="s">
        <v>222</v>
      </c>
      <c r="F133" s="41"/>
      <c r="G133" s="43" t="str">
        <f>'[1]710 (2)'!D50</f>
        <v>PENDING</v>
      </c>
      <c r="H133" s="44" t="s">
        <v>223</v>
      </c>
      <c r="I133" s="45" t="s">
        <v>19</v>
      </c>
      <c r="J133" s="46" t="s">
        <v>27</v>
      </c>
      <c r="K133" s="47" t="str">
        <f>'[1]710 (2)'!E48</f>
        <v>NA</v>
      </c>
      <c r="L133" s="48" t="str">
        <f>'[1]710 (2)'!D48</f>
        <v>P.I. RECEIVED</v>
      </c>
      <c r="M133" s="49">
        <v>0</v>
      </c>
      <c r="N133" s="47" t="str">
        <f>'[1]710 (2)'!E49</f>
        <v>NA</v>
      </c>
      <c r="O133" s="48" t="str">
        <f>'[1]710 (2)'!D49</f>
        <v>P.O. ISSUED</v>
      </c>
      <c r="P133" s="49">
        <v>0</v>
      </c>
      <c r="Q133" s="50"/>
      <c r="R133" s="51" t="e">
        <f t="shared" si="0"/>
        <v>#N/A</v>
      </c>
      <c r="S133" s="52"/>
    </row>
    <row r="134" spans="1:19" ht="16" x14ac:dyDescent="0.2">
      <c r="A134" s="50">
        <v>53.459059233449402</v>
      </c>
      <c r="B134" s="40" t="s">
        <v>7</v>
      </c>
      <c r="C134" s="41" t="s">
        <v>7</v>
      </c>
      <c r="D134" s="41" t="s">
        <v>9</v>
      </c>
      <c r="E134" s="42" t="s">
        <v>224</v>
      </c>
      <c r="F134" s="41"/>
      <c r="G134" s="43" t="str">
        <f>'[1]710 (3)'!D50</f>
        <v>PENDING</v>
      </c>
      <c r="H134" s="44" t="s">
        <v>225</v>
      </c>
      <c r="I134" s="45" t="s">
        <v>19</v>
      </c>
      <c r="J134" s="46" t="s">
        <v>27</v>
      </c>
      <c r="K134" s="47" t="str">
        <f>'[1]710 (3)'!E48</f>
        <v>NA</v>
      </c>
      <c r="L134" s="48" t="str">
        <f>'[1]710 (3)'!D48</f>
        <v>P.I. RECEIVED</v>
      </c>
      <c r="M134" s="49">
        <v>0</v>
      </c>
      <c r="N134" s="47" t="str">
        <f>'[1]710 (3)'!E49</f>
        <v>NA</v>
      </c>
      <c r="O134" s="48" t="str">
        <f>'[1]710 (3)'!D49</f>
        <v>P.O. ISSUED</v>
      </c>
      <c r="P134" s="49">
        <v>0</v>
      </c>
      <c r="Q134" s="50"/>
      <c r="R134" s="51" t="e">
        <f t="shared" si="0"/>
        <v>#N/A</v>
      </c>
      <c r="S134" s="52"/>
    </row>
    <row r="135" spans="1:19" ht="16" x14ac:dyDescent="0.2">
      <c r="A135" s="50">
        <v>54.473867595818803</v>
      </c>
      <c r="B135" s="40" t="s">
        <v>7</v>
      </c>
      <c r="C135" s="41" t="s">
        <v>7</v>
      </c>
      <c r="D135" s="41" t="s">
        <v>9</v>
      </c>
      <c r="E135" s="42" t="s">
        <v>226</v>
      </c>
      <c r="F135" s="41"/>
      <c r="G135" s="43" t="str">
        <f>'[1]710 (4)'!D50</f>
        <v>PENDING</v>
      </c>
      <c r="H135" s="44" t="s">
        <v>227</v>
      </c>
      <c r="I135" s="45" t="s">
        <v>19</v>
      </c>
      <c r="J135" s="46" t="s">
        <v>27</v>
      </c>
      <c r="K135" s="47" t="str">
        <f>'[1]710 (4)'!E48</f>
        <v>NA</v>
      </c>
      <c r="L135" s="48" t="str">
        <f>'[1]710 (4)'!D48</f>
        <v>P.I. RECEIVED</v>
      </c>
      <c r="M135" s="49">
        <v>0</v>
      </c>
      <c r="N135" s="47" t="str">
        <f>'[1]710 (4)'!E49</f>
        <v>NA</v>
      </c>
      <c r="O135" s="48" t="str">
        <f>'[1]710 (4)'!D49</f>
        <v>P.O. ISSUED</v>
      </c>
      <c r="P135" s="49">
        <v>0</v>
      </c>
      <c r="Q135" s="50"/>
      <c r="R135" s="51" t="e">
        <f t="shared" si="0"/>
        <v>#N/A</v>
      </c>
      <c r="S135" s="52"/>
    </row>
    <row r="136" spans="1:19" ht="16" x14ac:dyDescent="0.2">
      <c r="A136" s="50">
        <v>27</v>
      </c>
      <c r="B136" s="40" t="s">
        <v>7</v>
      </c>
      <c r="C136" s="41" t="s">
        <v>7</v>
      </c>
      <c r="D136" s="41" t="s">
        <v>9</v>
      </c>
      <c r="E136" s="42">
        <v>713</v>
      </c>
      <c r="F136" s="41"/>
      <c r="G136" s="43" t="str">
        <f>'[1]713'!D50</f>
        <v>PENDING</v>
      </c>
      <c r="H136" s="44" t="s">
        <v>228</v>
      </c>
      <c r="I136" s="45" t="s">
        <v>19</v>
      </c>
      <c r="J136" s="46" t="s">
        <v>2</v>
      </c>
      <c r="K136" s="47" t="str">
        <f>'[1]713'!E48</f>
        <v>NA</v>
      </c>
      <c r="L136" s="48" t="str">
        <f>'[1]713'!D48</f>
        <v>P.I. RECEIVED</v>
      </c>
      <c r="M136" s="49">
        <v>0</v>
      </c>
      <c r="N136" s="47" t="str">
        <f>'[1]713'!E49</f>
        <v>NA</v>
      </c>
      <c r="O136" s="48" t="str">
        <f>'[1]713'!D49</f>
        <v>P.O. ISSUED</v>
      </c>
      <c r="P136" s="49">
        <v>0</v>
      </c>
      <c r="Q136" s="50"/>
      <c r="R136" s="51" t="e">
        <f t="shared" si="0"/>
        <v>#N/A</v>
      </c>
      <c r="S136" s="52"/>
    </row>
    <row r="137" spans="1:19" ht="16" x14ac:dyDescent="0.2">
      <c r="A137" s="50">
        <v>28</v>
      </c>
      <c r="B137" s="40" t="s">
        <v>7</v>
      </c>
      <c r="C137" s="41" t="s">
        <v>7</v>
      </c>
      <c r="D137" s="41" t="s">
        <v>9</v>
      </c>
      <c r="E137" s="42">
        <v>714</v>
      </c>
      <c r="F137" s="41"/>
      <c r="G137" s="43" t="str">
        <f>'[1]714'!D50</f>
        <v>PENDING</v>
      </c>
      <c r="H137" s="44" t="s">
        <v>229</v>
      </c>
      <c r="I137" s="45" t="s">
        <v>19</v>
      </c>
      <c r="J137" s="46" t="s">
        <v>2</v>
      </c>
      <c r="K137" s="47" t="str">
        <f>'[1]714'!E48</f>
        <v>NA</v>
      </c>
      <c r="L137" s="48" t="str">
        <f>'[1]714'!D48</f>
        <v>P.I. RECEIVED</v>
      </c>
      <c r="M137" s="49">
        <v>0</v>
      </c>
      <c r="N137" s="47" t="str">
        <f>'[1]714'!E49</f>
        <v>NA</v>
      </c>
      <c r="O137" s="48" t="str">
        <f>'[1]714'!D49</f>
        <v>P.O. ISSUED</v>
      </c>
      <c r="P137" s="49">
        <v>0</v>
      </c>
      <c r="Q137" s="50"/>
      <c r="R137" s="51" t="e">
        <f t="shared" si="0"/>
        <v>#N/A</v>
      </c>
      <c r="S137" s="52"/>
    </row>
    <row r="138" spans="1:19" ht="16" x14ac:dyDescent="0.2">
      <c r="A138" s="50">
        <v>29</v>
      </c>
      <c r="B138" s="40" t="s">
        <v>7</v>
      </c>
      <c r="C138" s="41" t="s">
        <v>7</v>
      </c>
      <c r="D138" s="41" t="s">
        <v>9</v>
      </c>
      <c r="E138" s="42">
        <v>715</v>
      </c>
      <c r="F138" s="41"/>
      <c r="G138" s="43" t="str">
        <f>'[1]715'!D61</f>
        <v>PENDING</v>
      </c>
      <c r="H138" s="44" t="s">
        <v>230</v>
      </c>
      <c r="I138" s="45" t="s">
        <v>19</v>
      </c>
      <c r="J138" s="46" t="s">
        <v>20</v>
      </c>
      <c r="K138" s="47" t="str">
        <f>'[1]715'!E59</f>
        <v>NA</v>
      </c>
      <c r="L138" s="48" t="str">
        <f>'[1]715'!D59</f>
        <v>P.I. RECEIVED</v>
      </c>
      <c r="M138" s="49">
        <v>0</v>
      </c>
      <c r="N138" s="47" t="str">
        <f>'[1]715'!E60</f>
        <v>NA</v>
      </c>
      <c r="O138" s="48" t="str">
        <f>'[1]715'!D60</f>
        <v>P.O. ISSUED</v>
      </c>
      <c r="P138" s="49">
        <v>0</v>
      </c>
      <c r="Q138" s="50"/>
      <c r="R138" s="51" t="e">
        <f t="shared" si="0"/>
        <v>#N/A</v>
      </c>
      <c r="S138" s="52"/>
    </row>
    <row r="139" spans="1:19" ht="32" x14ac:dyDescent="0.2">
      <c r="A139" s="50">
        <v>30</v>
      </c>
      <c r="B139" s="41" t="s">
        <v>16</v>
      </c>
      <c r="C139" s="41" t="s">
        <v>16</v>
      </c>
      <c r="D139" s="41" t="s">
        <v>9</v>
      </c>
      <c r="E139" s="42">
        <v>720</v>
      </c>
      <c r="F139" s="41"/>
      <c r="G139" s="43" t="str">
        <f>'[1]720'!D71</f>
        <v>PENDING</v>
      </c>
      <c r="H139" s="56" t="s">
        <v>231</v>
      </c>
      <c r="I139" s="45" t="s">
        <v>1</v>
      </c>
      <c r="J139" s="46" t="s">
        <v>11</v>
      </c>
      <c r="K139" s="47" t="str">
        <f>'[1]720'!E69</f>
        <v>NA</v>
      </c>
      <c r="L139" s="48" t="str">
        <f>'[1]720'!D69</f>
        <v>P.I. RECEIVED</v>
      </c>
      <c r="M139" s="49">
        <v>0</v>
      </c>
      <c r="N139" s="47" t="str">
        <f>'[1]720'!E70</f>
        <v>NA</v>
      </c>
      <c r="O139" s="48" t="str">
        <f>'[1]720'!D70</f>
        <v>P.O. ISSUED</v>
      </c>
      <c r="P139" s="49">
        <v>0</v>
      </c>
      <c r="Q139" s="50"/>
      <c r="R139" s="51" t="e">
        <f t="shared" si="0"/>
        <v>#N/A</v>
      </c>
      <c r="S139" s="52"/>
    </row>
    <row r="140" spans="1:19" ht="16" x14ac:dyDescent="0.2">
      <c r="A140" s="50">
        <v>31</v>
      </c>
      <c r="B140" s="41" t="s">
        <v>16</v>
      </c>
      <c r="C140" s="41" t="s">
        <v>7</v>
      </c>
      <c r="D140" s="41" t="s">
        <v>9</v>
      </c>
      <c r="E140" s="42">
        <v>720</v>
      </c>
      <c r="F140" s="41"/>
      <c r="G140" s="43" t="str">
        <f>'[1]720'!D71</f>
        <v>PENDING</v>
      </c>
      <c r="H140" s="56" t="s">
        <v>232</v>
      </c>
      <c r="I140" s="45" t="s">
        <v>19</v>
      </c>
      <c r="J140" s="46" t="s">
        <v>2</v>
      </c>
      <c r="K140" s="47" t="str">
        <f>'[1]720'!E69</f>
        <v>NA</v>
      </c>
      <c r="L140" s="48" t="str">
        <f>'[1]720'!D69</f>
        <v>P.I. RECEIVED</v>
      </c>
      <c r="M140" s="49">
        <v>0</v>
      </c>
      <c r="N140" s="47" t="str">
        <f>'[1]720'!E70</f>
        <v>NA</v>
      </c>
      <c r="O140" s="48" t="str">
        <f>'[1]720'!D70</f>
        <v>P.O. ISSUED</v>
      </c>
      <c r="P140" s="49">
        <v>0</v>
      </c>
      <c r="Q140" s="50"/>
      <c r="R140" s="51" t="e">
        <f t="shared" si="0"/>
        <v>#N/A</v>
      </c>
      <c r="S140" s="52"/>
    </row>
    <row r="141" spans="1:19" ht="32" x14ac:dyDescent="0.2">
      <c r="A141" s="50">
        <v>32</v>
      </c>
      <c r="B141" s="41" t="s">
        <v>16</v>
      </c>
      <c r="C141" s="41" t="s">
        <v>16</v>
      </c>
      <c r="D141" s="41" t="s">
        <v>9</v>
      </c>
      <c r="E141" s="42">
        <v>720</v>
      </c>
      <c r="F141" s="41"/>
      <c r="G141" s="43" t="str">
        <f>'[1]720'!D71</f>
        <v>PENDING</v>
      </c>
      <c r="H141" s="56" t="s">
        <v>233</v>
      </c>
      <c r="I141" s="45" t="s">
        <v>1</v>
      </c>
      <c r="J141" s="46" t="s">
        <v>11</v>
      </c>
      <c r="K141" s="47" t="str">
        <f>'[1]720'!E69</f>
        <v>NA</v>
      </c>
      <c r="L141" s="48" t="str">
        <f>'[1]720'!D69</f>
        <v>P.I. RECEIVED</v>
      </c>
      <c r="M141" s="49">
        <v>0</v>
      </c>
      <c r="N141" s="47" t="str">
        <f>'[1]720'!E70</f>
        <v>NA</v>
      </c>
      <c r="O141" s="48" t="str">
        <f>'[1]720'!D70</f>
        <v>P.O. ISSUED</v>
      </c>
      <c r="P141" s="49">
        <v>0</v>
      </c>
      <c r="Q141" s="50"/>
      <c r="R141" s="51" t="e">
        <f t="shared" si="0"/>
        <v>#N/A</v>
      </c>
      <c r="S141" s="52"/>
    </row>
    <row r="142" spans="1:19" ht="16" x14ac:dyDescent="0.2">
      <c r="A142" s="50">
        <v>33</v>
      </c>
      <c r="B142" s="41" t="s">
        <v>16</v>
      </c>
      <c r="C142" s="41" t="s">
        <v>16</v>
      </c>
      <c r="D142" s="41" t="s">
        <v>9</v>
      </c>
      <c r="E142" s="42">
        <v>725</v>
      </c>
      <c r="F142" s="41"/>
      <c r="G142" s="43" t="str">
        <f>'[1]725'!D61</f>
        <v>PENDING</v>
      </c>
      <c r="H142" s="56" t="s">
        <v>234</v>
      </c>
      <c r="I142" s="45" t="s">
        <v>19</v>
      </c>
      <c r="J142" s="46" t="s">
        <v>20</v>
      </c>
      <c r="K142" s="47" t="str">
        <f>'[1]725'!E59</f>
        <v>NA</v>
      </c>
      <c r="L142" s="48" t="str">
        <f>'[1]725'!D59</f>
        <v>P.I. RECEIVED</v>
      </c>
      <c r="M142" s="49">
        <v>0</v>
      </c>
      <c r="N142" s="47" t="str">
        <f>'[1]725'!E60</f>
        <v>NA</v>
      </c>
      <c r="O142" s="48" t="str">
        <f>'[1]725'!D60</f>
        <v>P.O. ISSUED</v>
      </c>
      <c r="P142" s="49">
        <v>0</v>
      </c>
      <c r="Q142" s="50"/>
      <c r="R142" s="51" t="e">
        <f t="shared" si="0"/>
        <v>#N/A</v>
      </c>
      <c r="S142" s="52"/>
    </row>
    <row r="143" spans="1:19" ht="16" x14ac:dyDescent="0.2">
      <c r="A143" s="50">
        <v>34</v>
      </c>
      <c r="B143" s="40" t="s">
        <v>7</v>
      </c>
      <c r="C143" s="41" t="s">
        <v>7</v>
      </c>
      <c r="D143" s="41" t="s">
        <v>9</v>
      </c>
      <c r="E143" s="42">
        <v>775</v>
      </c>
      <c r="F143" s="41"/>
      <c r="G143" s="43" t="str">
        <f>'[1]775'!D125</f>
        <v>PENDING</v>
      </c>
      <c r="H143" s="44" t="s">
        <v>235</v>
      </c>
      <c r="I143" s="45" t="s">
        <v>19</v>
      </c>
      <c r="J143" s="46" t="s">
        <v>2</v>
      </c>
      <c r="K143" s="47" t="str">
        <f>'[1]775'!E123</f>
        <v>NA</v>
      </c>
      <c r="L143" s="48" t="str">
        <f>'[1]775'!D123</f>
        <v>P.I. RECEIVED</v>
      </c>
      <c r="M143" s="49">
        <v>0</v>
      </c>
      <c r="N143" s="47" t="str">
        <f>'[1]775'!E124</f>
        <v>NA</v>
      </c>
      <c r="O143" s="48" t="str">
        <f>'[1]775'!D124</f>
        <v>P.O. ISSUED</v>
      </c>
      <c r="P143" s="49">
        <v>0</v>
      </c>
      <c r="Q143" s="50"/>
      <c r="R143" s="51" t="e">
        <f t="shared" si="0"/>
        <v>#N/A</v>
      </c>
      <c r="S143" s="52"/>
    </row>
    <row r="144" spans="1:19" ht="16" x14ac:dyDescent="0.2">
      <c r="A144" s="50">
        <v>55.488675958188097</v>
      </c>
      <c r="B144" s="41" t="s">
        <v>16</v>
      </c>
      <c r="C144" s="41" t="s">
        <v>7</v>
      </c>
      <c r="D144" s="41" t="s">
        <v>9</v>
      </c>
      <c r="E144" s="57" t="s">
        <v>236</v>
      </c>
      <c r="F144" s="41"/>
      <c r="G144" s="58" t="str">
        <f>'[1]780 (1)'!D56</f>
        <v>PENDING</v>
      </c>
      <c r="H144" s="56" t="s">
        <v>237</v>
      </c>
      <c r="I144" s="45" t="s">
        <v>19</v>
      </c>
      <c r="J144" s="46" t="s">
        <v>2</v>
      </c>
      <c r="K144" s="47" t="str">
        <f>'[1]780 (1)'!E54</f>
        <v>NA</v>
      </c>
      <c r="L144" s="48" t="str">
        <f>'[1]780 (1)'!D54</f>
        <v>P.I. RECEIVED</v>
      </c>
      <c r="M144" s="49">
        <v>0</v>
      </c>
      <c r="N144" s="47" t="str">
        <f>'[1]780 (1)'!E55</f>
        <v>NA</v>
      </c>
      <c r="O144" s="48" t="str">
        <f>'[1]780 (1)'!D55</f>
        <v>P.O. ISSUED</v>
      </c>
      <c r="P144" s="49">
        <v>0</v>
      </c>
      <c r="Q144" s="59"/>
      <c r="R144" s="51" t="e">
        <f t="shared" si="0"/>
        <v>#N/A</v>
      </c>
      <c r="S144" s="60"/>
    </row>
    <row r="145" spans="1:19" ht="16" x14ac:dyDescent="0.2">
      <c r="A145" s="50">
        <v>56.503484320557497</v>
      </c>
      <c r="B145" s="40" t="s">
        <v>7</v>
      </c>
      <c r="C145" s="41" t="s">
        <v>7</v>
      </c>
      <c r="D145" s="41" t="s">
        <v>9</v>
      </c>
      <c r="E145" s="42" t="s">
        <v>238</v>
      </c>
      <c r="F145" s="41"/>
      <c r="G145" s="43" t="str">
        <f>'[1]780 (2)'!D50</f>
        <v>PENDING</v>
      </c>
      <c r="H145" s="44" t="s">
        <v>239</v>
      </c>
      <c r="I145" s="45" t="s">
        <v>19</v>
      </c>
      <c r="J145" s="46" t="s">
        <v>2</v>
      </c>
      <c r="K145" s="47" t="str">
        <f>'[1]780 (2)'!E48</f>
        <v>NA</v>
      </c>
      <c r="L145" s="48" t="str">
        <f>'[1]780 (2)'!D48</f>
        <v>P.I. RECEIVED</v>
      </c>
      <c r="M145" s="49">
        <v>0</v>
      </c>
      <c r="N145" s="47" t="str">
        <f>'[1]780 (2)'!E49</f>
        <v>NA</v>
      </c>
      <c r="O145" s="48" t="str">
        <f>'[1]780 (2)'!D49</f>
        <v>P.O. ISSUED</v>
      </c>
      <c r="P145" s="49">
        <v>0</v>
      </c>
      <c r="Q145" s="50"/>
      <c r="R145" s="51" t="e">
        <f t="shared" si="0"/>
        <v>#N/A</v>
      </c>
      <c r="S145" s="52"/>
    </row>
    <row r="146" spans="1:19" ht="16" x14ac:dyDescent="0.2">
      <c r="A146" s="50">
        <v>57.518292682926798</v>
      </c>
      <c r="B146" s="40" t="s">
        <v>7</v>
      </c>
      <c r="C146" s="41" t="s">
        <v>7</v>
      </c>
      <c r="D146" s="41" t="s">
        <v>9</v>
      </c>
      <c r="E146" s="42" t="s">
        <v>240</v>
      </c>
      <c r="F146" s="41"/>
      <c r="G146" s="43" t="str">
        <f>[1]HEATEX1!D83</f>
        <v>CANCELLED</v>
      </c>
      <c r="H146" s="44" t="s">
        <v>241</v>
      </c>
      <c r="I146" s="45" t="s">
        <v>19</v>
      </c>
      <c r="J146" s="46" t="s">
        <v>2</v>
      </c>
      <c r="K146" s="47" t="str">
        <f>[1]HEATEX1!E81</f>
        <v>NA</v>
      </c>
      <c r="L146" s="48" t="str">
        <f>[1]HEATEX1!D81</f>
        <v>P.I. RECEIVED</v>
      </c>
      <c r="M146" s="49">
        <v>0</v>
      </c>
      <c r="N146" s="47" t="str">
        <f>[1]HEATEX1!E82</f>
        <v>NA</v>
      </c>
      <c r="O146" s="48" t="str">
        <f>[1]HEATEX1!D82</f>
        <v>P.O. ISSUED</v>
      </c>
      <c r="P146" s="49">
        <v>0</v>
      </c>
      <c r="Q146" s="50"/>
      <c r="R146" s="51" t="e">
        <f t="shared" si="0"/>
        <v>#N/A</v>
      </c>
      <c r="S146" s="52"/>
    </row>
    <row r="147" spans="1:19" ht="16" x14ac:dyDescent="0.2">
      <c r="A147" s="50">
        <v>59.5479094076655</v>
      </c>
      <c r="B147" s="40" t="s">
        <v>7</v>
      </c>
      <c r="C147" s="41" t="s">
        <v>7</v>
      </c>
      <c r="D147" s="41" t="s">
        <v>9</v>
      </c>
      <c r="E147" s="61" t="s">
        <v>242</v>
      </c>
      <c r="F147" s="41"/>
      <c r="G147" s="43" t="str">
        <f>[1]PIPE!D130</f>
        <v>COMPLETED</v>
      </c>
      <c r="H147" s="44" t="s">
        <v>243</v>
      </c>
      <c r="I147" s="45" t="s">
        <v>19</v>
      </c>
      <c r="J147" s="46" t="s">
        <v>2</v>
      </c>
      <c r="K147" s="47" t="str">
        <f>[1]PIPE!E128</f>
        <v>NA</v>
      </c>
      <c r="L147" s="48" t="str">
        <f>[1]PIPE!D128</f>
        <v>P.I. RECEIVED</v>
      </c>
      <c r="M147" s="49">
        <v>0</v>
      </c>
      <c r="N147" s="47" t="str">
        <f>[1]PIPE!E129</f>
        <v>NA</v>
      </c>
      <c r="O147" s="48" t="str">
        <f>[1]PIPE!D129</f>
        <v>P.O. ISSUED</v>
      </c>
      <c r="P147" s="49">
        <v>0</v>
      </c>
      <c r="Q147" s="50"/>
      <c r="R147" s="51" t="e">
        <f t="shared" si="0"/>
        <v>#N/A</v>
      </c>
      <c r="S147" s="52"/>
    </row>
    <row r="148" spans="1:19" ht="32" x14ac:dyDescent="0.2">
      <c r="A148" s="50">
        <v>60.562717770034801</v>
      </c>
      <c r="B148" s="40" t="s">
        <v>7</v>
      </c>
      <c r="C148" s="41" t="s">
        <v>7</v>
      </c>
      <c r="D148" s="41" t="s">
        <v>9</v>
      </c>
      <c r="E148" s="41"/>
      <c r="F148" s="41"/>
      <c r="G148" s="43" t="s">
        <v>4</v>
      </c>
      <c r="H148" s="44" t="s">
        <v>244</v>
      </c>
      <c r="I148" s="45" t="s">
        <v>1</v>
      </c>
      <c r="J148" s="46" t="s">
        <v>20</v>
      </c>
      <c r="K148" s="47"/>
      <c r="L148" s="48"/>
      <c r="M148" s="49">
        <v>0</v>
      </c>
      <c r="N148" s="47"/>
      <c r="O148" s="48"/>
      <c r="P148" s="49">
        <v>0</v>
      </c>
      <c r="Q148" s="50"/>
      <c r="R148" s="51" t="e">
        <f t="shared" si="0"/>
        <v>#N/A</v>
      </c>
      <c r="S148" s="52"/>
    </row>
    <row r="149" spans="1:19" ht="16" x14ac:dyDescent="0.2">
      <c r="A149" s="50">
        <v>145.80662020905899</v>
      </c>
      <c r="B149" s="40" t="s">
        <v>7</v>
      </c>
      <c r="C149" s="41" t="s">
        <v>7</v>
      </c>
      <c r="D149" s="41" t="s">
        <v>9</v>
      </c>
      <c r="E149" s="41"/>
      <c r="F149" s="41"/>
      <c r="G149" s="43" t="s">
        <v>4</v>
      </c>
      <c r="H149" s="44" t="s">
        <v>245</v>
      </c>
      <c r="I149" s="45" t="s">
        <v>19</v>
      </c>
      <c r="J149" s="46" t="s">
        <v>2</v>
      </c>
      <c r="K149" s="47"/>
      <c r="L149" s="48"/>
      <c r="M149" s="49">
        <v>0</v>
      </c>
      <c r="N149" s="47"/>
      <c r="O149" s="48"/>
      <c r="P149" s="49">
        <v>0</v>
      </c>
      <c r="Q149" s="50"/>
      <c r="R149" s="51" t="e">
        <f t="shared" ref="R149:R212" si="1">VLOOKUP(Q149,$AC$1:$AD$11,2,FALSE)</f>
        <v>#N/A</v>
      </c>
      <c r="S149" s="52"/>
    </row>
    <row r="150" spans="1:19" ht="16" x14ac:dyDescent="0.2">
      <c r="A150" s="50">
        <v>146.82142857142799</v>
      </c>
      <c r="B150" s="40" t="s">
        <v>7</v>
      </c>
      <c r="C150" s="41" t="s">
        <v>7</v>
      </c>
      <c r="D150" s="41" t="s">
        <v>9</v>
      </c>
      <c r="E150" s="41"/>
      <c r="F150" s="41"/>
      <c r="G150" s="43" t="s">
        <v>4</v>
      </c>
      <c r="H150" s="44" t="s">
        <v>246</v>
      </c>
      <c r="I150" s="45" t="s">
        <v>19</v>
      </c>
      <c r="J150" s="46" t="s">
        <v>2</v>
      </c>
      <c r="K150" s="47"/>
      <c r="L150" s="48"/>
      <c r="M150" s="49">
        <v>0</v>
      </c>
      <c r="N150" s="47"/>
      <c r="O150" s="48"/>
      <c r="P150" s="49">
        <v>0</v>
      </c>
      <c r="Q150" s="50"/>
      <c r="R150" s="51" t="e">
        <f t="shared" si="1"/>
        <v>#N/A</v>
      </c>
      <c r="S150" s="52"/>
    </row>
    <row r="151" spans="1:19" ht="16" x14ac:dyDescent="0.2">
      <c r="A151" s="50">
        <v>147.83623693379801</v>
      </c>
      <c r="B151" s="40" t="s">
        <v>7</v>
      </c>
      <c r="C151" s="41" t="s">
        <v>7</v>
      </c>
      <c r="D151" s="41" t="s">
        <v>9</v>
      </c>
      <c r="E151" s="41"/>
      <c r="F151" s="41"/>
      <c r="G151" s="43" t="s">
        <v>4</v>
      </c>
      <c r="H151" s="44" t="s">
        <v>247</v>
      </c>
      <c r="I151" s="45" t="s">
        <v>19</v>
      </c>
      <c r="J151" s="46" t="s">
        <v>2</v>
      </c>
      <c r="K151" s="47"/>
      <c r="L151" s="48"/>
      <c r="M151" s="49">
        <v>0</v>
      </c>
      <c r="N151" s="47"/>
      <c r="O151" s="48"/>
      <c r="P151" s="49">
        <v>0</v>
      </c>
      <c r="Q151" s="50"/>
      <c r="R151" s="51" t="e">
        <f t="shared" si="1"/>
        <v>#N/A</v>
      </c>
      <c r="S151" s="52"/>
    </row>
    <row r="152" spans="1:19" ht="32" x14ac:dyDescent="0.2">
      <c r="A152" s="50">
        <v>148.851045296167</v>
      </c>
      <c r="B152" s="40" t="s">
        <v>7</v>
      </c>
      <c r="C152" s="41" t="s">
        <v>7</v>
      </c>
      <c r="D152" s="41" t="s">
        <v>9</v>
      </c>
      <c r="E152" s="41"/>
      <c r="F152" s="41"/>
      <c r="G152" s="43" t="s">
        <v>4</v>
      </c>
      <c r="H152" s="44" t="s">
        <v>248</v>
      </c>
      <c r="I152" s="45" t="s">
        <v>1</v>
      </c>
      <c r="J152" s="46" t="s">
        <v>11</v>
      </c>
      <c r="K152" s="47"/>
      <c r="L152" s="48"/>
      <c r="M152" s="49">
        <v>0</v>
      </c>
      <c r="N152" s="47"/>
      <c r="O152" s="48"/>
      <c r="P152" s="49">
        <v>0</v>
      </c>
      <c r="Q152" s="50"/>
      <c r="R152" s="51" t="e">
        <f t="shared" si="1"/>
        <v>#N/A</v>
      </c>
      <c r="S152" s="52"/>
    </row>
    <row r="153" spans="1:19" ht="16" x14ac:dyDescent="0.2">
      <c r="A153" s="50">
        <v>149.865853658536</v>
      </c>
      <c r="B153" s="40" t="s">
        <v>7</v>
      </c>
      <c r="C153" s="41" t="s">
        <v>7</v>
      </c>
      <c r="D153" s="41" t="s">
        <v>9</v>
      </c>
      <c r="E153" s="41"/>
      <c r="F153" s="41"/>
      <c r="G153" s="43" t="s">
        <v>4</v>
      </c>
      <c r="H153" s="44" t="s">
        <v>249</v>
      </c>
      <c r="I153" s="45" t="s">
        <v>19</v>
      </c>
      <c r="J153" s="46" t="s">
        <v>2</v>
      </c>
      <c r="K153" s="47"/>
      <c r="L153" s="48"/>
      <c r="M153" s="49">
        <v>0</v>
      </c>
      <c r="N153" s="47"/>
      <c r="O153" s="48"/>
      <c r="P153" s="49">
        <v>0</v>
      </c>
      <c r="Q153" s="50"/>
      <c r="R153" s="51" t="e">
        <f t="shared" si="1"/>
        <v>#N/A</v>
      </c>
      <c r="S153" s="52"/>
    </row>
    <row r="154" spans="1:19" ht="32" x14ac:dyDescent="0.2">
      <c r="A154" s="50">
        <v>150.88066202090599</v>
      </c>
      <c r="B154" s="41" t="s">
        <v>16</v>
      </c>
      <c r="C154" s="41" t="s">
        <v>16</v>
      </c>
      <c r="D154" s="41" t="s">
        <v>9</v>
      </c>
      <c r="E154" s="41"/>
      <c r="F154" s="41"/>
      <c r="G154" s="43" t="s">
        <v>4</v>
      </c>
      <c r="H154" s="56" t="s">
        <v>250</v>
      </c>
      <c r="I154" s="45" t="s">
        <v>1</v>
      </c>
      <c r="J154" s="46" t="s">
        <v>11</v>
      </c>
      <c r="K154" s="47"/>
      <c r="L154" s="48"/>
      <c r="M154" s="49">
        <v>0</v>
      </c>
      <c r="N154" s="47"/>
      <c r="O154" s="48"/>
      <c r="P154" s="49">
        <v>0</v>
      </c>
      <c r="Q154" s="50"/>
      <c r="R154" s="51" t="e">
        <f t="shared" si="1"/>
        <v>#N/A</v>
      </c>
      <c r="S154" s="52"/>
    </row>
    <row r="155" spans="1:19" ht="16" x14ac:dyDescent="0.2">
      <c r="A155" s="50">
        <v>151.89547038327501</v>
      </c>
      <c r="B155" s="40" t="s">
        <v>7</v>
      </c>
      <c r="C155" s="41" t="s">
        <v>7</v>
      </c>
      <c r="D155" s="41" t="s">
        <v>9</v>
      </c>
      <c r="E155" s="41"/>
      <c r="F155" s="41"/>
      <c r="G155" s="43" t="s">
        <v>4</v>
      </c>
      <c r="H155" s="44" t="s">
        <v>251</v>
      </c>
      <c r="I155" s="45" t="s">
        <v>19</v>
      </c>
      <c r="J155" s="46" t="s">
        <v>2</v>
      </c>
      <c r="K155" s="47"/>
      <c r="L155" s="48"/>
      <c r="M155" s="49">
        <v>0</v>
      </c>
      <c r="N155" s="47"/>
      <c r="O155" s="48"/>
      <c r="P155" s="49">
        <v>0</v>
      </c>
      <c r="Q155" s="50"/>
      <c r="R155" s="51" t="e">
        <f t="shared" si="1"/>
        <v>#N/A</v>
      </c>
      <c r="S155" s="52"/>
    </row>
    <row r="156" spans="1:19" ht="32" x14ac:dyDescent="0.2">
      <c r="A156" s="50">
        <v>152.91027874564401</v>
      </c>
      <c r="B156" s="41" t="s">
        <v>16</v>
      </c>
      <c r="C156" s="41" t="s">
        <v>16</v>
      </c>
      <c r="D156" s="41" t="s">
        <v>9</v>
      </c>
      <c r="E156" s="41"/>
      <c r="F156" s="41"/>
      <c r="G156" s="43" t="s">
        <v>4</v>
      </c>
      <c r="H156" s="56" t="s">
        <v>252</v>
      </c>
      <c r="I156" s="45" t="s">
        <v>1</v>
      </c>
      <c r="J156" s="46" t="s">
        <v>11</v>
      </c>
      <c r="K156" s="47"/>
      <c r="L156" s="48"/>
      <c r="M156" s="49">
        <v>0</v>
      </c>
      <c r="N156" s="47"/>
      <c r="O156" s="48"/>
      <c r="P156" s="49">
        <v>0</v>
      </c>
      <c r="Q156" s="50"/>
      <c r="R156" s="51" t="e">
        <f t="shared" si="1"/>
        <v>#N/A</v>
      </c>
      <c r="S156" s="52"/>
    </row>
    <row r="157" spans="1:19" ht="32" x14ac:dyDescent="0.2">
      <c r="A157" s="50">
        <v>153.925087108014</v>
      </c>
      <c r="B157" s="41" t="s">
        <v>16</v>
      </c>
      <c r="C157" s="41" t="s">
        <v>16</v>
      </c>
      <c r="D157" s="41" t="s">
        <v>9</v>
      </c>
      <c r="E157" s="41"/>
      <c r="F157" s="41"/>
      <c r="G157" s="43" t="s">
        <v>4</v>
      </c>
      <c r="H157" s="56" t="s">
        <v>253</v>
      </c>
      <c r="I157" s="45" t="s">
        <v>1</v>
      </c>
      <c r="J157" s="46" t="s">
        <v>11</v>
      </c>
      <c r="K157" s="47"/>
      <c r="L157" s="48"/>
      <c r="M157" s="49">
        <v>0</v>
      </c>
      <c r="N157" s="47"/>
      <c r="O157" s="48"/>
      <c r="P157" s="49">
        <v>0</v>
      </c>
      <c r="Q157" s="50"/>
      <c r="R157" s="51" t="e">
        <f t="shared" si="1"/>
        <v>#N/A</v>
      </c>
      <c r="S157" s="52"/>
    </row>
    <row r="158" spans="1:19" ht="32" x14ac:dyDescent="0.2">
      <c r="A158" s="50">
        <v>154.93989547038299</v>
      </c>
      <c r="B158" s="41" t="s">
        <v>16</v>
      </c>
      <c r="C158" s="41" t="s">
        <v>16</v>
      </c>
      <c r="D158" s="41" t="s">
        <v>9</v>
      </c>
      <c r="E158" s="41"/>
      <c r="F158" s="41"/>
      <c r="G158" s="43" t="s">
        <v>4</v>
      </c>
      <c r="H158" s="56" t="s">
        <v>254</v>
      </c>
      <c r="I158" s="45" t="s">
        <v>1</v>
      </c>
      <c r="J158" s="46" t="s">
        <v>11</v>
      </c>
      <c r="K158" s="47"/>
      <c r="L158" s="48"/>
      <c r="M158" s="49">
        <v>0</v>
      </c>
      <c r="N158" s="47"/>
      <c r="O158" s="48"/>
      <c r="P158" s="49">
        <v>0</v>
      </c>
      <c r="Q158" s="50"/>
      <c r="R158" s="51" t="e">
        <f t="shared" si="1"/>
        <v>#N/A</v>
      </c>
      <c r="S158" s="52"/>
    </row>
    <row r="159" spans="1:19" ht="16" x14ac:dyDescent="0.2">
      <c r="A159" s="50">
        <v>155.95470383275199</v>
      </c>
      <c r="B159" s="41" t="s">
        <v>16</v>
      </c>
      <c r="C159" s="41" t="s">
        <v>16</v>
      </c>
      <c r="D159" s="41" t="s">
        <v>9</v>
      </c>
      <c r="E159" s="41"/>
      <c r="F159" s="41"/>
      <c r="G159" s="43" t="s">
        <v>4</v>
      </c>
      <c r="H159" s="56" t="s">
        <v>255</v>
      </c>
      <c r="I159" s="45" t="s">
        <v>19</v>
      </c>
      <c r="J159" s="46" t="s">
        <v>11</v>
      </c>
      <c r="K159" s="47"/>
      <c r="L159" s="48"/>
      <c r="M159" s="49">
        <v>0</v>
      </c>
      <c r="N159" s="47"/>
      <c r="O159" s="48"/>
      <c r="P159" s="49">
        <v>0</v>
      </c>
      <c r="Q159" s="50"/>
      <c r="R159" s="51" t="e">
        <f t="shared" si="1"/>
        <v>#N/A</v>
      </c>
      <c r="S159" s="52"/>
    </row>
    <row r="160" spans="1:19" ht="16" x14ac:dyDescent="0.2">
      <c r="A160" s="50">
        <v>156.96951219512201</v>
      </c>
      <c r="B160" s="40" t="s">
        <v>7</v>
      </c>
      <c r="C160" s="41" t="s">
        <v>7</v>
      </c>
      <c r="D160" s="41" t="s">
        <v>9</v>
      </c>
      <c r="E160" s="41"/>
      <c r="F160" s="41"/>
      <c r="G160" s="43" t="s">
        <v>4</v>
      </c>
      <c r="H160" s="44" t="s">
        <v>256</v>
      </c>
      <c r="I160" s="45" t="s">
        <v>19</v>
      </c>
      <c r="J160" s="46" t="s">
        <v>11</v>
      </c>
      <c r="K160" s="47"/>
      <c r="L160" s="48"/>
      <c r="M160" s="49">
        <v>0</v>
      </c>
      <c r="N160" s="47"/>
      <c r="O160" s="48"/>
      <c r="P160" s="49">
        <v>0</v>
      </c>
      <c r="Q160" s="50"/>
      <c r="R160" s="51" t="e">
        <f t="shared" si="1"/>
        <v>#N/A</v>
      </c>
      <c r="S160" s="52"/>
    </row>
    <row r="161" spans="1:19" ht="16" x14ac:dyDescent="0.2">
      <c r="A161" s="50">
        <v>157.984320557491</v>
      </c>
      <c r="B161" s="41" t="s">
        <v>16</v>
      </c>
      <c r="C161" s="41" t="s">
        <v>16</v>
      </c>
      <c r="D161" s="41" t="s">
        <v>9</v>
      </c>
      <c r="E161" s="41"/>
      <c r="F161" s="41"/>
      <c r="G161" s="43" t="s">
        <v>4</v>
      </c>
      <c r="H161" s="56" t="s">
        <v>257</v>
      </c>
      <c r="I161" s="45" t="s">
        <v>19</v>
      </c>
      <c r="J161" s="46" t="s">
        <v>11</v>
      </c>
      <c r="K161" s="47"/>
      <c r="L161" s="48"/>
      <c r="M161" s="49">
        <v>0</v>
      </c>
      <c r="N161" s="47"/>
      <c r="O161" s="48"/>
      <c r="P161" s="49">
        <v>0</v>
      </c>
      <c r="Q161" s="50"/>
      <c r="R161" s="51" t="e">
        <f t="shared" si="1"/>
        <v>#N/A</v>
      </c>
      <c r="S161" s="52"/>
    </row>
    <row r="162" spans="1:19" ht="16" x14ac:dyDescent="0.2">
      <c r="A162" s="50">
        <v>158.99912891986</v>
      </c>
      <c r="B162" s="41" t="s">
        <v>16</v>
      </c>
      <c r="C162" s="41" t="s">
        <v>16</v>
      </c>
      <c r="D162" s="41" t="s">
        <v>9</v>
      </c>
      <c r="E162" s="41"/>
      <c r="F162" s="41"/>
      <c r="G162" s="43" t="s">
        <v>4</v>
      </c>
      <c r="H162" s="56" t="s">
        <v>258</v>
      </c>
      <c r="I162" s="45" t="s">
        <v>19</v>
      </c>
      <c r="J162" s="46" t="s">
        <v>11</v>
      </c>
      <c r="K162" s="47"/>
      <c r="L162" s="48"/>
      <c r="M162" s="49">
        <v>0</v>
      </c>
      <c r="N162" s="47"/>
      <c r="O162" s="48"/>
      <c r="P162" s="49">
        <v>0</v>
      </c>
      <c r="Q162" s="50"/>
      <c r="R162" s="51" t="e">
        <f t="shared" si="1"/>
        <v>#N/A</v>
      </c>
      <c r="S162" s="52"/>
    </row>
    <row r="163" spans="1:19" ht="16" x14ac:dyDescent="0.2">
      <c r="A163" s="50">
        <v>160.01393728222999</v>
      </c>
      <c r="B163" s="41" t="s">
        <v>16</v>
      </c>
      <c r="C163" s="41" t="s">
        <v>16</v>
      </c>
      <c r="D163" s="41" t="s">
        <v>9</v>
      </c>
      <c r="E163" s="41"/>
      <c r="F163" s="41"/>
      <c r="G163" s="43" t="s">
        <v>4</v>
      </c>
      <c r="H163" s="56" t="s">
        <v>259</v>
      </c>
      <c r="I163" s="45" t="s">
        <v>19</v>
      </c>
      <c r="J163" s="46" t="s">
        <v>11</v>
      </c>
      <c r="K163" s="47"/>
      <c r="L163" s="48"/>
      <c r="M163" s="49">
        <v>0</v>
      </c>
      <c r="N163" s="47"/>
      <c r="O163" s="48"/>
      <c r="P163" s="49">
        <v>0</v>
      </c>
      <c r="Q163" s="50"/>
      <c r="R163" s="51" t="e">
        <f t="shared" si="1"/>
        <v>#N/A</v>
      </c>
      <c r="S163" s="52"/>
    </row>
    <row r="164" spans="1:19" ht="16" x14ac:dyDescent="0.2">
      <c r="A164" s="50">
        <v>161.02874564459901</v>
      </c>
      <c r="B164" s="40" t="s">
        <v>7</v>
      </c>
      <c r="C164" s="41" t="s">
        <v>7</v>
      </c>
      <c r="D164" s="41" t="s">
        <v>9</v>
      </c>
      <c r="E164" s="41"/>
      <c r="F164" s="41"/>
      <c r="G164" s="43" t="s">
        <v>4</v>
      </c>
      <c r="H164" s="44" t="s">
        <v>260</v>
      </c>
      <c r="I164" s="45" t="s">
        <v>19</v>
      </c>
      <c r="J164" s="46" t="s">
        <v>11</v>
      </c>
      <c r="K164" s="47"/>
      <c r="L164" s="48"/>
      <c r="M164" s="49">
        <v>0</v>
      </c>
      <c r="N164" s="47"/>
      <c r="O164" s="48"/>
      <c r="P164" s="49">
        <v>0</v>
      </c>
      <c r="Q164" s="50"/>
      <c r="R164" s="51" t="e">
        <f t="shared" si="1"/>
        <v>#N/A</v>
      </c>
      <c r="S164" s="52"/>
    </row>
    <row r="165" spans="1:19" ht="16" x14ac:dyDescent="0.2">
      <c r="A165" s="50">
        <v>162.04355400696801</v>
      </c>
      <c r="B165" s="40" t="s">
        <v>7</v>
      </c>
      <c r="C165" s="41" t="s">
        <v>7</v>
      </c>
      <c r="D165" s="41" t="s">
        <v>9</v>
      </c>
      <c r="E165" s="41"/>
      <c r="F165" s="41"/>
      <c r="G165" s="43" t="s">
        <v>4</v>
      </c>
      <c r="H165" s="44" t="s">
        <v>261</v>
      </c>
      <c r="I165" s="45" t="s">
        <v>19</v>
      </c>
      <c r="J165" s="46" t="s">
        <v>11</v>
      </c>
      <c r="K165" s="47"/>
      <c r="L165" s="48"/>
      <c r="M165" s="49">
        <v>0</v>
      </c>
      <c r="N165" s="47"/>
      <c r="O165" s="48"/>
      <c r="P165" s="49">
        <v>0</v>
      </c>
      <c r="Q165" s="50"/>
      <c r="R165" s="51" t="e">
        <f t="shared" si="1"/>
        <v>#N/A</v>
      </c>
      <c r="S165" s="52"/>
    </row>
    <row r="166" spans="1:19" ht="16" x14ac:dyDescent="0.2">
      <c r="A166" s="50">
        <v>163.058362369338</v>
      </c>
      <c r="B166" s="40" t="s">
        <v>7</v>
      </c>
      <c r="C166" s="41" t="s">
        <v>7</v>
      </c>
      <c r="D166" s="41" t="s">
        <v>9</v>
      </c>
      <c r="E166" s="41"/>
      <c r="F166" s="41"/>
      <c r="G166" s="43" t="s">
        <v>4</v>
      </c>
      <c r="H166" s="44" t="s">
        <v>262</v>
      </c>
      <c r="I166" s="45" t="s">
        <v>19</v>
      </c>
      <c r="J166" s="46" t="s">
        <v>2</v>
      </c>
      <c r="K166" s="47"/>
      <c r="L166" s="48"/>
      <c r="M166" s="49">
        <v>0</v>
      </c>
      <c r="N166" s="47"/>
      <c r="O166" s="48"/>
      <c r="P166" s="49">
        <v>0</v>
      </c>
      <c r="Q166" s="50"/>
      <c r="R166" s="51" t="e">
        <f t="shared" si="1"/>
        <v>#N/A</v>
      </c>
      <c r="S166" s="52"/>
    </row>
    <row r="167" spans="1:19" ht="16" x14ac:dyDescent="0.2">
      <c r="A167" s="50">
        <v>164.07317073170699</v>
      </c>
      <c r="B167" s="40" t="s">
        <v>7</v>
      </c>
      <c r="C167" s="41" t="s">
        <v>7</v>
      </c>
      <c r="D167" s="41" t="s">
        <v>9</v>
      </c>
      <c r="E167" s="41"/>
      <c r="F167" s="41"/>
      <c r="G167" s="43" t="s">
        <v>4</v>
      </c>
      <c r="H167" s="44" t="s">
        <v>263</v>
      </c>
      <c r="I167" s="45" t="s">
        <v>19</v>
      </c>
      <c r="J167" s="46" t="s">
        <v>2</v>
      </c>
      <c r="K167" s="47"/>
      <c r="L167" s="48"/>
      <c r="M167" s="49">
        <v>0</v>
      </c>
      <c r="N167" s="47"/>
      <c r="O167" s="48"/>
      <c r="P167" s="49">
        <v>0</v>
      </c>
      <c r="Q167" s="50"/>
      <c r="R167" s="51" t="e">
        <f t="shared" si="1"/>
        <v>#N/A</v>
      </c>
      <c r="S167" s="52"/>
    </row>
    <row r="168" spans="1:19" ht="16" x14ac:dyDescent="0.2">
      <c r="A168" s="50">
        <v>35</v>
      </c>
      <c r="B168" s="40" t="s">
        <v>7</v>
      </c>
      <c r="C168" s="41" t="s">
        <v>7</v>
      </c>
      <c r="D168" s="41" t="s">
        <v>18</v>
      </c>
      <c r="E168" s="42">
        <v>810</v>
      </c>
      <c r="F168" s="41"/>
      <c r="G168" s="43" t="str">
        <f>'[1]810'!D50</f>
        <v>PENDING</v>
      </c>
      <c r="H168" s="62" t="s">
        <v>264</v>
      </c>
      <c r="I168" s="45" t="s">
        <v>19</v>
      </c>
      <c r="J168" s="46" t="s">
        <v>2</v>
      </c>
      <c r="K168" s="47" t="str">
        <f>'[1]810'!E48</f>
        <v>NA</v>
      </c>
      <c r="L168" s="48" t="str">
        <f>'[1]810'!D48</f>
        <v>P.I. RECEIVED</v>
      </c>
      <c r="M168" s="49">
        <v>0</v>
      </c>
      <c r="N168" s="47" t="str">
        <f>'[1]810'!E49</f>
        <v>NA</v>
      </c>
      <c r="O168" s="48" t="str">
        <f>'[1]810'!D49</f>
        <v>P.O. ISSUED</v>
      </c>
      <c r="P168" s="49">
        <v>0</v>
      </c>
      <c r="Q168" s="50"/>
      <c r="R168" s="51" t="e">
        <f t="shared" si="1"/>
        <v>#N/A</v>
      </c>
      <c r="S168" s="52"/>
    </row>
    <row r="169" spans="1:19" ht="16" x14ac:dyDescent="0.2">
      <c r="A169" s="50">
        <v>36</v>
      </c>
      <c r="B169" s="40" t="s">
        <v>7</v>
      </c>
      <c r="C169" s="41" t="s">
        <v>7</v>
      </c>
      <c r="D169" s="41" t="s">
        <v>18</v>
      </c>
      <c r="E169" s="42">
        <v>815</v>
      </c>
      <c r="F169" s="41"/>
      <c r="G169" s="43" t="str">
        <f>'[1]815'!D50</f>
        <v>PENDING</v>
      </c>
      <c r="H169" s="62" t="s">
        <v>265</v>
      </c>
      <c r="I169" s="45" t="s">
        <v>19</v>
      </c>
      <c r="J169" s="46" t="s">
        <v>2</v>
      </c>
      <c r="K169" s="47" t="str">
        <f>'[1]815'!E48</f>
        <v>NA</v>
      </c>
      <c r="L169" s="48" t="str">
        <f>'[1]815'!D48</f>
        <v>P.I. RECEIVED</v>
      </c>
      <c r="M169" s="49">
        <v>0</v>
      </c>
      <c r="N169" s="47" t="str">
        <f>'[1]815'!E49</f>
        <v>NA</v>
      </c>
      <c r="O169" s="48" t="str">
        <f>'[1]815'!D49</f>
        <v>P.O. ISSUED</v>
      </c>
      <c r="P169" s="49">
        <v>0</v>
      </c>
      <c r="Q169" s="50"/>
      <c r="R169" s="51" t="e">
        <f t="shared" si="1"/>
        <v>#N/A</v>
      </c>
      <c r="S169" s="52"/>
    </row>
    <row r="170" spans="1:19" ht="16" x14ac:dyDescent="0.2">
      <c r="A170" s="50">
        <v>37</v>
      </c>
      <c r="B170" s="40" t="s">
        <v>7</v>
      </c>
      <c r="C170" s="41" t="s">
        <v>7</v>
      </c>
      <c r="D170" s="41" t="s">
        <v>18</v>
      </c>
      <c r="E170" s="42">
        <v>815</v>
      </c>
      <c r="F170" s="41"/>
      <c r="G170" s="43" t="str">
        <f>'[1]815'!D50</f>
        <v>PENDING</v>
      </c>
      <c r="H170" s="62" t="s">
        <v>266</v>
      </c>
      <c r="I170" s="45" t="s">
        <v>19</v>
      </c>
      <c r="J170" s="46" t="s">
        <v>2</v>
      </c>
      <c r="K170" s="47" t="str">
        <f>'[1]815'!E48</f>
        <v>NA</v>
      </c>
      <c r="L170" s="48" t="str">
        <f>'[1]815'!D48</f>
        <v>P.I. RECEIVED</v>
      </c>
      <c r="M170" s="49">
        <v>0</v>
      </c>
      <c r="N170" s="47" t="str">
        <f>'[1]815'!E49</f>
        <v>NA</v>
      </c>
      <c r="O170" s="48" t="str">
        <f>'[1]815'!D49</f>
        <v>P.O. ISSUED</v>
      </c>
      <c r="P170" s="49">
        <v>0</v>
      </c>
      <c r="Q170" s="50"/>
      <c r="R170" s="51" t="e">
        <f t="shared" si="1"/>
        <v>#N/A</v>
      </c>
      <c r="S170" s="52"/>
    </row>
    <row r="171" spans="1:19" ht="16" x14ac:dyDescent="0.2">
      <c r="A171" s="50">
        <v>38</v>
      </c>
      <c r="B171" s="40" t="s">
        <v>7</v>
      </c>
      <c r="C171" s="41" t="s">
        <v>7</v>
      </c>
      <c r="D171" s="41" t="s">
        <v>18</v>
      </c>
      <c r="E171" s="42">
        <v>816</v>
      </c>
      <c r="F171" s="41"/>
      <c r="G171" s="43" t="str">
        <f>'[1]816'!D67</f>
        <v>PENDING</v>
      </c>
      <c r="H171" s="62" t="s">
        <v>267</v>
      </c>
      <c r="I171" s="45" t="s">
        <v>19</v>
      </c>
      <c r="J171" s="46" t="s">
        <v>2</v>
      </c>
      <c r="K171" s="47" t="str">
        <f>'[1]816'!E65</f>
        <v>NA</v>
      </c>
      <c r="L171" s="48" t="str">
        <f>'[1]816'!D65</f>
        <v>P.I. RECEIVED</v>
      </c>
      <c r="M171" s="49">
        <v>0</v>
      </c>
      <c r="N171" s="47" t="str">
        <f>'[1]816'!E66</f>
        <v>NA</v>
      </c>
      <c r="O171" s="48" t="str">
        <f>'[1]816'!D66</f>
        <v>P.O. ISSUED</v>
      </c>
      <c r="P171" s="49">
        <v>0</v>
      </c>
      <c r="Q171" s="50"/>
      <c r="R171" s="51" t="e">
        <f t="shared" si="1"/>
        <v>#N/A</v>
      </c>
      <c r="S171" s="52"/>
    </row>
    <row r="172" spans="1:19" ht="16" x14ac:dyDescent="0.2">
      <c r="A172" s="50">
        <v>39</v>
      </c>
      <c r="B172" s="40" t="s">
        <v>7</v>
      </c>
      <c r="C172" s="41" t="s">
        <v>7</v>
      </c>
      <c r="D172" s="41" t="s">
        <v>18</v>
      </c>
      <c r="E172" s="55">
        <v>817</v>
      </c>
      <c r="F172" s="41"/>
      <c r="G172" s="43" t="str">
        <f>'[1]817'!D57</f>
        <v>PENDING</v>
      </c>
      <c r="H172" s="44" t="s">
        <v>268</v>
      </c>
      <c r="I172" s="45" t="s">
        <v>19</v>
      </c>
      <c r="J172" s="46" t="s">
        <v>2</v>
      </c>
      <c r="K172" s="47" t="str">
        <f>'[1]817'!E55</f>
        <v>NA</v>
      </c>
      <c r="L172" s="48" t="str">
        <f>'[1]817'!D55</f>
        <v>P.I. RECEIVED</v>
      </c>
      <c r="M172" s="49">
        <v>0</v>
      </c>
      <c r="N172" s="47" t="str">
        <f>'[1]817'!E56</f>
        <v>NA</v>
      </c>
      <c r="O172" s="48" t="str">
        <f>'[1]817'!D56</f>
        <v>P.O. ISSUED</v>
      </c>
      <c r="P172" s="49">
        <v>0</v>
      </c>
      <c r="Q172" s="50"/>
      <c r="R172" s="51" t="e">
        <f t="shared" si="1"/>
        <v>#N/A</v>
      </c>
      <c r="S172" s="52"/>
    </row>
    <row r="173" spans="1:19" ht="16" x14ac:dyDescent="0.2">
      <c r="A173" s="50">
        <v>40</v>
      </c>
      <c r="B173" s="40" t="s">
        <v>7</v>
      </c>
      <c r="C173" s="41" t="s">
        <v>7</v>
      </c>
      <c r="D173" s="41" t="s">
        <v>18</v>
      </c>
      <c r="E173" s="42">
        <v>818</v>
      </c>
      <c r="F173" s="41"/>
      <c r="G173" s="43" t="str">
        <f>'[1]818'!D63</f>
        <v>PENDING</v>
      </c>
      <c r="H173" s="62" t="s">
        <v>269</v>
      </c>
      <c r="I173" s="45" t="s">
        <v>19</v>
      </c>
      <c r="J173" s="46" t="s">
        <v>20</v>
      </c>
      <c r="K173" s="47" t="str">
        <f>'[1]818'!E61</f>
        <v>NA</v>
      </c>
      <c r="L173" s="48" t="str">
        <f>'[1]818'!D61</f>
        <v>P.I. RECEIVED</v>
      </c>
      <c r="M173" s="49">
        <v>0</v>
      </c>
      <c r="N173" s="47" t="str">
        <f>'[1]818'!E62</f>
        <v>NA</v>
      </c>
      <c r="O173" s="48" t="str">
        <f>'[1]818'!D62</f>
        <v>P.O. ISSUED</v>
      </c>
      <c r="P173" s="49">
        <v>0</v>
      </c>
      <c r="Q173" s="50"/>
      <c r="R173" s="51" t="e">
        <f t="shared" si="1"/>
        <v>#N/A</v>
      </c>
      <c r="S173" s="52"/>
    </row>
    <row r="174" spans="1:19" ht="16" x14ac:dyDescent="0.2">
      <c r="A174" s="50">
        <v>165.08797909407599</v>
      </c>
      <c r="B174" s="41" t="s">
        <v>16</v>
      </c>
      <c r="C174" s="41" t="s">
        <v>16</v>
      </c>
      <c r="D174" s="41" t="s">
        <v>18</v>
      </c>
      <c r="E174" s="41"/>
      <c r="F174" s="41"/>
      <c r="G174" s="43" t="s">
        <v>4</v>
      </c>
      <c r="H174" s="63" t="s">
        <v>270</v>
      </c>
      <c r="I174" s="45" t="s">
        <v>19</v>
      </c>
      <c r="J174" s="46" t="s">
        <v>2</v>
      </c>
      <c r="K174" s="47"/>
      <c r="L174" s="48"/>
      <c r="M174" s="49">
        <v>0</v>
      </c>
      <c r="N174" s="47"/>
      <c r="O174" s="48"/>
      <c r="P174" s="49">
        <v>0</v>
      </c>
      <c r="Q174" s="50"/>
      <c r="R174" s="51" t="e">
        <f t="shared" si="1"/>
        <v>#N/A</v>
      </c>
      <c r="S174" s="52"/>
    </row>
    <row r="175" spans="1:19" ht="32" x14ac:dyDescent="0.2">
      <c r="A175" s="50">
        <v>166.10278745644601</v>
      </c>
      <c r="B175" s="41" t="s">
        <v>16</v>
      </c>
      <c r="C175" s="41" t="s">
        <v>16</v>
      </c>
      <c r="D175" s="41" t="s">
        <v>18</v>
      </c>
      <c r="E175" s="41"/>
      <c r="F175" s="41"/>
      <c r="G175" s="43" t="s">
        <v>4</v>
      </c>
      <c r="H175" s="63" t="s">
        <v>271</v>
      </c>
      <c r="I175" s="45" t="s">
        <v>1</v>
      </c>
      <c r="J175" s="46" t="s">
        <v>11</v>
      </c>
      <c r="K175" s="47"/>
      <c r="L175" s="48"/>
      <c r="M175" s="49">
        <v>0</v>
      </c>
      <c r="N175" s="47"/>
      <c r="O175" s="48"/>
      <c r="P175" s="49">
        <v>0</v>
      </c>
      <c r="Q175" s="50"/>
      <c r="R175" s="51" t="e">
        <f t="shared" si="1"/>
        <v>#N/A</v>
      </c>
      <c r="S175" s="52"/>
    </row>
    <row r="176" spans="1:19" ht="16" x14ac:dyDescent="0.2">
      <c r="A176" s="50">
        <v>58.5331010452961</v>
      </c>
      <c r="B176" s="40" t="s">
        <v>7</v>
      </c>
      <c r="C176" s="41" t="s">
        <v>7</v>
      </c>
      <c r="D176" s="41" t="s">
        <v>18</v>
      </c>
      <c r="E176" s="42" t="s">
        <v>272</v>
      </c>
      <c r="F176" s="41"/>
      <c r="G176" s="43" t="str">
        <f>'[1]MOTOR 1'!D94</f>
        <v>PENDING</v>
      </c>
      <c r="H176" s="62" t="s">
        <v>273</v>
      </c>
      <c r="I176" s="45" t="s">
        <v>19</v>
      </c>
      <c r="J176" s="46" t="s">
        <v>2</v>
      </c>
      <c r="K176" s="47" t="str">
        <f>'[1]MOTOR 1'!E92</f>
        <v>##</v>
      </c>
      <c r="L176" s="48" t="str">
        <f>'[1]MOTOR 1'!D92</f>
        <v>PENDING APPROVAL</v>
      </c>
      <c r="M176" s="49">
        <v>0</v>
      </c>
      <c r="N176" s="47" t="str">
        <f>'[1]MOTOR 1'!E93</f>
        <v>N/A</v>
      </c>
      <c r="O176" s="48" t="str">
        <f>'[1]MOTOR 1'!D93</f>
        <v>N/A</v>
      </c>
      <c r="P176" s="49">
        <v>0</v>
      </c>
      <c r="Q176" s="50"/>
      <c r="R176" s="51" t="e">
        <f>VLOOKUP(Q176,$AC$1:$AD$11,2,FALSE)</f>
        <v>#N/A</v>
      </c>
      <c r="S176" s="52"/>
    </row>
    <row r="177" spans="1:19" ht="16" x14ac:dyDescent="0.2">
      <c r="A177" s="50">
        <v>167.117595818815</v>
      </c>
      <c r="B177" s="41" t="s">
        <v>16</v>
      </c>
      <c r="C177" s="41" t="s">
        <v>16</v>
      </c>
      <c r="D177" s="41" t="s">
        <v>18</v>
      </c>
      <c r="E177" s="42" t="s">
        <v>274</v>
      </c>
      <c r="F177" s="41"/>
      <c r="G177" s="43" t="str">
        <f>'[1]MOTOR 2'!D94</f>
        <v>PARTIAL</v>
      </c>
      <c r="H177" s="63" t="s">
        <v>275</v>
      </c>
      <c r="I177" s="45" t="s">
        <v>19</v>
      </c>
      <c r="J177" s="46" t="s">
        <v>2</v>
      </c>
      <c r="K177" s="47" t="str">
        <f>'[1]MOTOR 2'!E92</f>
        <v>##</v>
      </c>
      <c r="L177" s="48" t="str">
        <f>'[1]MOTOR 2'!D92</f>
        <v>PENDING APPROVAL</v>
      </c>
      <c r="M177" s="49">
        <v>0</v>
      </c>
      <c r="N177" s="47" t="str">
        <f>'[1]MOTOR 2'!E93</f>
        <v>N/A</v>
      </c>
      <c r="O177" s="48" t="str">
        <f>'[1]MOTOR 2'!D93</f>
        <v>N/A</v>
      </c>
      <c r="P177" s="49">
        <v>0</v>
      </c>
      <c r="Q177" s="50"/>
      <c r="R177" s="51" t="e">
        <f t="shared" ref="R177:R200" si="2">VLOOKUP(Q177,$AC$1:$AD$11,2,FALSE)</f>
        <v>#N/A</v>
      </c>
      <c r="S177" s="52"/>
    </row>
    <row r="178" spans="1:19" ht="16" x14ac:dyDescent="0.2">
      <c r="A178" s="50">
        <v>168.132404181184</v>
      </c>
      <c r="B178" s="41" t="s">
        <v>16</v>
      </c>
      <c r="C178" s="41" t="s">
        <v>16</v>
      </c>
      <c r="D178" s="41" t="s">
        <v>18</v>
      </c>
      <c r="E178" s="42" t="s">
        <v>276</v>
      </c>
      <c r="F178" s="41"/>
      <c r="G178" s="43" t="str">
        <f>'[1]MOTOR 3'!D94</f>
        <v>COMPLETED</v>
      </c>
      <c r="H178" s="63" t="s">
        <v>277</v>
      </c>
      <c r="I178" s="45" t="s">
        <v>19</v>
      </c>
      <c r="J178" s="46" t="s">
        <v>2</v>
      </c>
      <c r="K178" s="47" t="str">
        <f>'[1]MOTOR 3'!E92</f>
        <v>##</v>
      </c>
      <c r="L178" s="48" t="str">
        <f>'[1]MOTOR 3'!D92</f>
        <v>PENDING APPROVAL</v>
      </c>
      <c r="M178" s="49">
        <v>0</v>
      </c>
      <c r="N178" s="47" t="str">
        <f>'[1]MOTOR 3'!E93</f>
        <v>N/A</v>
      </c>
      <c r="O178" s="48" t="str">
        <f>'[1]MOTOR 3'!D93</f>
        <v>N/A</v>
      </c>
      <c r="P178" s="49">
        <v>0</v>
      </c>
      <c r="Q178" s="50"/>
      <c r="R178" s="51" t="e">
        <f t="shared" si="2"/>
        <v>#N/A</v>
      </c>
      <c r="S178" s="52"/>
    </row>
    <row r="179" spans="1:19" ht="16" x14ac:dyDescent="0.2">
      <c r="A179" s="50">
        <v>169.14721254355399</v>
      </c>
      <c r="B179" s="41" t="s">
        <v>16</v>
      </c>
      <c r="C179" s="41" t="s">
        <v>16</v>
      </c>
      <c r="D179" s="41" t="s">
        <v>18</v>
      </c>
      <c r="E179" s="42" t="s">
        <v>278</v>
      </c>
      <c r="F179" s="41"/>
      <c r="G179" s="43" t="str">
        <f>'[1]MOTOR 4'!D94</f>
        <v>CANCELLED</v>
      </c>
      <c r="H179" s="63" t="s">
        <v>279</v>
      </c>
      <c r="I179" s="45" t="s">
        <v>19</v>
      </c>
      <c r="J179" s="46" t="s">
        <v>2</v>
      </c>
      <c r="K179" s="47" t="str">
        <f>'[1]MOTOR 4'!E92</f>
        <v>##</v>
      </c>
      <c r="L179" s="48" t="str">
        <f>'[1]MOTOR 4'!D92</f>
        <v>PENDING APPROVAL</v>
      </c>
      <c r="M179" s="49">
        <v>0</v>
      </c>
      <c r="N179" s="47" t="str">
        <f>'[1]MOTOR 4'!E93</f>
        <v>N/A</v>
      </c>
      <c r="O179" s="48" t="str">
        <f>'[1]MOTOR 4'!D93</f>
        <v>N/A</v>
      </c>
      <c r="P179" s="49">
        <v>0</v>
      </c>
      <c r="Q179" s="50"/>
      <c r="R179" s="51" t="e">
        <f t="shared" si="2"/>
        <v>#N/A</v>
      </c>
      <c r="S179" s="52"/>
    </row>
    <row r="180" spans="1:19" ht="16" x14ac:dyDescent="0.2">
      <c r="A180" s="50">
        <v>170.16202090592299</v>
      </c>
      <c r="B180" s="41" t="s">
        <v>16</v>
      </c>
      <c r="C180" s="41" t="s">
        <v>16</v>
      </c>
      <c r="D180" s="41" t="s">
        <v>18</v>
      </c>
      <c r="E180" s="42" t="s">
        <v>280</v>
      </c>
      <c r="F180" s="41"/>
      <c r="G180" s="43" t="str">
        <f>'[1]MOTOR 5'!D94</f>
        <v>N/A</v>
      </c>
      <c r="H180" s="63" t="s">
        <v>281</v>
      </c>
      <c r="I180" s="45" t="s">
        <v>19</v>
      </c>
      <c r="J180" s="46" t="s">
        <v>2</v>
      </c>
      <c r="K180" s="47" t="str">
        <f>'[1]MOTOR 5'!E92</f>
        <v>##</v>
      </c>
      <c r="L180" s="48" t="str">
        <f>'[1]MOTOR 5'!D92</f>
        <v>PENDING APPROVAL</v>
      </c>
      <c r="M180" s="49">
        <v>0</v>
      </c>
      <c r="N180" s="47" t="str">
        <f>'[1]MOTOR 5'!E93</f>
        <v>N/A</v>
      </c>
      <c r="O180" s="48" t="str">
        <f>'[1]MOTOR 5'!D93</f>
        <v>N/A</v>
      </c>
      <c r="P180" s="49">
        <v>0</v>
      </c>
      <c r="Q180" s="50"/>
      <c r="R180" s="51" t="e">
        <f t="shared" si="2"/>
        <v>#N/A</v>
      </c>
      <c r="S180" s="52"/>
    </row>
    <row r="181" spans="1:19" ht="16" x14ac:dyDescent="0.2">
      <c r="A181" s="50">
        <v>171.17682926829201</v>
      </c>
      <c r="B181" s="41" t="s">
        <v>16</v>
      </c>
      <c r="C181" s="41" t="s">
        <v>16</v>
      </c>
      <c r="D181" s="41" t="s">
        <v>18</v>
      </c>
      <c r="E181" s="42" t="s">
        <v>282</v>
      </c>
      <c r="F181" s="41"/>
      <c r="G181" s="43" t="str">
        <f>'[1]MOTOR 6'!D94</f>
        <v>PENDING</v>
      </c>
      <c r="H181" s="63" t="s">
        <v>283</v>
      </c>
      <c r="I181" s="45" t="s">
        <v>19</v>
      </c>
      <c r="J181" s="46" t="s">
        <v>2</v>
      </c>
      <c r="K181" s="47" t="str">
        <f>'[1]MOTOR 6'!E92</f>
        <v>##</v>
      </c>
      <c r="L181" s="48" t="str">
        <f>'[1]MOTOR 6'!D92</f>
        <v>PENDING APPROVAL</v>
      </c>
      <c r="M181" s="49">
        <v>0</v>
      </c>
      <c r="N181" s="47" t="str">
        <f>'[1]MOTOR 6'!E93</f>
        <v>N/A</v>
      </c>
      <c r="O181" s="48" t="str">
        <f>'[1]MOTOR 6'!D93</f>
        <v>N/A</v>
      </c>
      <c r="P181" s="49">
        <v>0</v>
      </c>
      <c r="Q181" s="50"/>
      <c r="R181" s="51" t="e">
        <f t="shared" si="2"/>
        <v>#N/A</v>
      </c>
      <c r="S181" s="52"/>
    </row>
    <row r="182" spans="1:19" ht="16" x14ac:dyDescent="0.2">
      <c r="A182" s="50">
        <v>172.191637630662</v>
      </c>
      <c r="B182" s="41" t="s">
        <v>16</v>
      </c>
      <c r="C182" s="41" t="s">
        <v>16</v>
      </c>
      <c r="D182" s="41" t="s">
        <v>18</v>
      </c>
      <c r="E182" s="42" t="s">
        <v>284</v>
      </c>
      <c r="F182" s="41"/>
      <c r="G182" s="43" t="str">
        <f>'[1]MOTOR 7'!D94</f>
        <v>PENDING</v>
      </c>
      <c r="H182" s="63" t="s">
        <v>285</v>
      </c>
      <c r="I182" s="45" t="s">
        <v>19</v>
      </c>
      <c r="J182" s="46" t="s">
        <v>2</v>
      </c>
      <c r="K182" s="47" t="str">
        <f>'[1]MOTOR 7'!E92</f>
        <v>##</v>
      </c>
      <c r="L182" s="48" t="str">
        <f>'[1]MOTOR 7'!D92</f>
        <v>PENDING APPROVAL</v>
      </c>
      <c r="M182" s="49">
        <v>0</v>
      </c>
      <c r="N182" s="47" t="str">
        <f>'[1]MOTOR 7'!E93</f>
        <v>N/A</v>
      </c>
      <c r="O182" s="48" t="str">
        <f>'[1]MOTOR 7'!D93</f>
        <v>N/A</v>
      </c>
      <c r="P182" s="49">
        <v>0</v>
      </c>
      <c r="Q182" s="50"/>
      <c r="R182" s="51" t="e">
        <f t="shared" si="2"/>
        <v>#N/A</v>
      </c>
      <c r="S182" s="52"/>
    </row>
    <row r="183" spans="1:19" ht="32" x14ac:dyDescent="0.2">
      <c r="A183" s="50">
        <v>173.206445993031</v>
      </c>
      <c r="B183" s="41" t="s">
        <v>16</v>
      </c>
      <c r="C183" s="41" t="s">
        <v>16</v>
      </c>
      <c r="D183" s="41" t="s">
        <v>18</v>
      </c>
      <c r="E183" s="42" t="s">
        <v>286</v>
      </c>
      <c r="F183" s="41"/>
      <c r="G183" s="43" t="str">
        <f>'[1]MOTOR 8'!D94</f>
        <v>PENDING</v>
      </c>
      <c r="H183" s="63" t="s">
        <v>287</v>
      </c>
      <c r="I183" s="45" t="s">
        <v>1</v>
      </c>
      <c r="J183" s="46" t="s">
        <v>11</v>
      </c>
      <c r="K183" s="47" t="str">
        <f>'[1]MOTOR 8'!E92</f>
        <v>##</v>
      </c>
      <c r="L183" s="48" t="str">
        <f>'[1]MOTOR 8'!D92</f>
        <v>PENDING APPROVAL</v>
      </c>
      <c r="M183" s="49">
        <v>0</v>
      </c>
      <c r="N183" s="47" t="str">
        <f>'[1]MOTOR 8'!E93</f>
        <v>N/A</v>
      </c>
      <c r="O183" s="48" t="str">
        <f>'[1]MOTOR 8'!D93</f>
        <v>N/A</v>
      </c>
      <c r="P183" s="49">
        <v>0</v>
      </c>
      <c r="Q183" s="50"/>
      <c r="R183" s="51" t="e">
        <f t="shared" si="2"/>
        <v>#N/A</v>
      </c>
      <c r="S183" s="52"/>
    </row>
    <row r="184" spans="1:19" ht="16" x14ac:dyDescent="0.2">
      <c r="A184" s="50">
        <v>174.22125435539999</v>
      </c>
      <c r="B184" s="41" t="s">
        <v>16</v>
      </c>
      <c r="C184" s="41" t="s">
        <v>16</v>
      </c>
      <c r="D184" s="41" t="s">
        <v>18</v>
      </c>
      <c r="E184" s="42" t="s">
        <v>288</v>
      </c>
      <c r="F184" s="41"/>
      <c r="G184" s="43" t="str">
        <f>'[1]MOTOR 9'!D94</f>
        <v>PENDING</v>
      </c>
      <c r="H184" s="63" t="s">
        <v>289</v>
      </c>
      <c r="I184" s="45" t="s">
        <v>19</v>
      </c>
      <c r="J184" s="46" t="s">
        <v>2</v>
      </c>
      <c r="K184" s="47" t="str">
        <f>'[1]MOTOR 9'!E92</f>
        <v>##</v>
      </c>
      <c r="L184" s="48" t="str">
        <f>'[1]MOTOR 9'!D92</f>
        <v>PENDING APPROVAL</v>
      </c>
      <c r="M184" s="49">
        <v>0</v>
      </c>
      <c r="N184" s="47" t="str">
        <f>'[1]MOTOR 9'!E93</f>
        <v>N/A</v>
      </c>
      <c r="O184" s="48" t="str">
        <f>'[1]MOTOR 9'!D93</f>
        <v>N/A</v>
      </c>
      <c r="P184" s="49">
        <v>0</v>
      </c>
      <c r="Q184" s="50"/>
      <c r="R184" s="51" t="e">
        <f t="shared" si="2"/>
        <v>#N/A</v>
      </c>
      <c r="S184" s="52"/>
    </row>
    <row r="185" spans="1:19" ht="16" x14ac:dyDescent="0.2">
      <c r="A185" s="50">
        <v>175.23606271777001</v>
      </c>
      <c r="B185" s="41" t="s">
        <v>16</v>
      </c>
      <c r="C185" s="41" t="s">
        <v>16</v>
      </c>
      <c r="D185" s="41" t="s">
        <v>18</v>
      </c>
      <c r="E185" s="42" t="s">
        <v>290</v>
      </c>
      <c r="F185" s="41"/>
      <c r="G185" s="43" t="str">
        <f>'[1]MOTOR 10'!D94</f>
        <v>PENDING</v>
      </c>
      <c r="H185" s="63" t="s">
        <v>291</v>
      </c>
      <c r="I185" s="45" t="s">
        <v>19</v>
      </c>
      <c r="J185" s="46" t="s">
        <v>2</v>
      </c>
      <c r="K185" s="47" t="str">
        <f>'[1]MOTOR 10'!E92</f>
        <v>##</v>
      </c>
      <c r="L185" s="48" t="str">
        <f>'[1]MOTOR 10'!D92</f>
        <v>PENDING APPROVAL</v>
      </c>
      <c r="M185" s="49">
        <v>0</v>
      </c>
      <c r="N185" s="47" t="str">
        <f>'[1]MOTOR 10'!E93</f>
        <v>N/A</v>
      </c>
      <c r="O185" s="48" t="str">
        <f>'[1]MOTOR 10'!D93</f>
        <v>N/A</v>
      </c>
      <c r="P185" s="49">
        <v>0</v>
      </c>
      <c r="Q185" s="50"/>
      <c r="R185" s="51" t="e">
        <f t="shared" si="2"/>
        <v>#N/A</v>
      </c>
      <c r="S185" s="52"/>
    </row>
    <row r="186" spans="1:19" ht="16" x14ac:dyDescent="0.2">
      <c r="A186" s="50">
        <v>176.25087108013901</v>
      </c>
      <c r="B186" s="41" t="s">
        <v>16</v>
      </c>
      <c r="C186" s="41" t="s">
        <v>16</v>
      </c>
      <c r="D186" s="41" t="s">
        <v>18</v>
      </c>
      <c r="E186" s="42" t="s">
        <v>292</v>
      </c>
      <c r="F186" s="41"/>
      <c r="G186" s="43" t="str">
        <f>'[1]MOTOR 11'!D94</f>
        <v>PENDING</v>
      </c>
      <c r="H186" s="63" t="s">
        <v>293</v>
      </c>
      <c r="I186" s="45" t="s">
        <v>19</v>
      </c>
      <c r="J186" s="46" t="s">
        <v>2</v>
      </c>
      <c r="K186" s="47" t="str">
        <f>'[1]MOTOR 11'!E92</f>
        <v>##</v>
      </c>
      <c r="L186" s="48" t="str">
        <f>'[1]MOTOR 11'!D92</f>
        <v>PENDING APPROVAL</v>
      </c>
      <c r="M186" s="49">
        <v>0</v>
      </c>
      <c r="N186" s="47" t="str">
        <f>'[1]MOTOR 11'!E93</f>
        <v>N/A</v>
      </c>
      <c r="O186" s="48" t="str">
        <f>'[1]MOTOR 11'!D93</f>
        <v>N/A</v>
      </c>
      <c r="P186" s="49">
        <v>0</v>
      </c>
      <c r="Q186" s="50"/>
      <c r="R186" s="51" t="e">
        <f t="shared" si="2"/>
        <v>#N/A</v>
      </c>
      <c r="S186" s="52"/>
    </row>
    <row r="187" spans="1:19" ht="32" x14ac:dyDescent="0.2">
      <c r="A187" s="50">
        <v>177.265679442509</v>
      </c>
      <c r="B187" s="41" t="s">
        <v>16</v>
      </c>
      <c r="C187" s="41" t="s">
        <v>16</v>
      </c>
      <c r="D187" s="41" t="s">
        <v>18</v>
      </c>
      <c r="E187" s="42" t="s">
        <v>294</v>
      </c>
      <c r="F187" s="41"/>
      <c r="G187" s="43" t="str">
        <f>'[1]MOTOR 12'!D94</f>
        <v>PENDING</v>
      </c>
      <c r="H187" s="63" t="s">
        <v>295</v>
      </c>
      <c r="I187" s="45" t="s">
        <v>1</v>
      </c>
      <c r="J187" s="46" t="s">
        <v>11</v>
      </c>
      <c r="K187" s="47" t="str">
        <f>'[1]MOTOR 12'!E92</f>
        <v>##</v>
      </c>
      <c r="L187" s="48" t="str">
        <f>'[1]MOTOR 12'!D92</f>
        <v>PENDING APPROVAL</v>
      </c>
      <c r="M187" s="49">
        <v>0</v>
      </c>
      <c r="N187" s="47" t="str">
        <f>'[1]MOTOR 12'!E93</f>
        <v>N/A</v>
      </c>
      <c r="O187" s="48" t="str">
        <f>'[1]MOTOR 12'!D93</f>
        <v>N/A</v>
      </c>
      <c r="P187" s="49">
        <v>0</v>
      </c>
      <c r="Q187" s="50"/>
      <c r="R187" s="51" t="e">
        <f t="shared" si="2"/>
        <v>#N/A</v>
      </c>
      <c r="S187" s="52"/>
    </row>
    <row r="188" spans="1:19" ht="16" x14ac:dyDescent="0.2">
      <c r="A188" s="50">
        <v>178.28048780487799</v>
      </c>
      <c r="B188" s="41" t="s">
        <v>16</v>
      </c>
      <c r="C188" s="41" t="s">
        <v>16</v>
      </c>
      <c r="D188" s="41" t="s">
        <v>18</v>
      </c>
      <c r="E188" s="42" t="s">
        <v>296</v>
      </c>
      <c r="F188" s="41"/>
      <c r="G188" s="43" t="str">
        <f>'[1]MOTOR 13'!D94</f>
        <v>PENDING</v>
      </c>
      <c r="H188" s="63" t="s">
        <v>297</v>
      </c>
      <c r="I188" s="45" t="s">
        <v>19</v>
      </c>
      <c r="J188" s="46" t="s">
        <v>2</v>
      </c>
      <c r="K188" s="47" t="str">
        <f>'[1]MOTOR 13'!E92</f>
        <v>##</v>
      </c>
      <c r="L188" s="48" t="str">
        <f>'[1]MOTOR 13'!D92</f>
        <v>PENDING APPROVAL</v>
      </c>
      <c r="M188" s="49">
        <v>0</v>
      </c>
      <c r="N188" s="47" t="str">
        <f>'[1]MOTOR 13'!E93</f>
        <v>N/A</v>
      </c>
      <c r="O188" s="48" t="str">
        <f>'[1]MOTOR 13'!D93</f>
        <v>N/A</v>
      </c>
      <c r="P188" s="49">
        <v>0</v>
      </c>
      <c r="Q188" s="50"/>
      <c r="R188" s="51" t="e">
        <f t="shared" si="2"/>
        <v>#N/A</v>
      </c>
      <c r="S188" s="52"/>
    </row>
    <row r="189" spans="1:19" ht="32" x14ac:dyDescent="0.2">
      <c r="A189" s="50">
        <v>179.29529616724699</v>
      </c>
      <c r="B189" s="41" t="s">
        <v>16</v>
      </c>
      <c r="C189" s="41" t="s">
        <v>16</v>
      </c>
      <c r="D189" s="41" t="s">
        <v>18</v>
      </c>
      <c r="E189" s="42" t="s">
        <v>298</v>
      </c>
      <c r="F189" s="41"/>
      <c r="G189" s="43" t="str">
        <f>'[1]MOTOR 14'!D94</f>
        <v>PENDING</v>
      </c>
      <c r="H189" s="63" t="s">
        <v>299</v>
      </c>
      <c r="I189" s="45" t="s">
        <v>1</v>
      </c>
      <c r="J189" s="46" t="s">
        <v>11</v>
      </c>
      <c r="K189" s="47" t="str">
        <f>'[1]MOTOR 14'!E92</f>
        <v>##</v>
      </c>
      <c r="L189" s="48" t="str">
        <f>'[1]MOTOR 14'!D92</f>
        <v>PENDING APPROVAL</v>
      </c>
      <c r="M189" s="49">
        <v>0</v>
      </c>
      <c r="N189" s="47" t="str">
        <f>'[1]MOTOR 14'!E93</f>
        <v>N/A</v>
      </c>
      <c r="O189" s="48" t="str">
        <f>'[1]MOTOR 14'!D93</f>
        <v>N/A</v>
      </c>
      <c r="P189" s="49">
        <v>0</v>
      </c>
      <c r="Q189" s="50"/>
      <c r="R189" s="51" t="e">
        <f t="shared" si="2"/>
        <v>#N/A</v>
      </c>
      <c r="S189" s="52"/>
    </row>
    <row r="190" spans="1:19" ht="32" x14ac:dyDescent="0.2">
      <c r="A190" s="50">
        <v>180.31010452961701</v>
      </c>
      <c r="B190" s="41" t="s">
        <v>16</v>
      </c>
      <c r="C190" s="41" t="s">
        <v>16</v>
      </c>
      <c r="D190" s="41" t="s">
        <v>18</v>
      </c>
      <c r="E190" s="42" t="s">
        <v>300</v>
      </c>
      <c r="F190" s="41"/>
      <c r="G190" s="43" t="str">
        <f>'[1]MOTOR 15'!D94</f>
        <v>PENDING</v>
      </c>
      <c r="H190" s="63" t="s">
        <v>301</v>
      </c>
      <c r="I190" s="45" t="s">
        <v>1</v>
      </c>
      <c r="J190" s="46" t="s">
        <v>11</v>
      </c>
      <c r="K190" s="47" t="str">
        <f>'[1]MOTOR 15'!E92</f>
        <v>##</v>
      </c>
      <c r="L190" s="48" t="str">
        <f>'[1]MOTOR 15'!D92</f>
        <v>PENDING APPROVAL</v>
      </c>
      <c r="M190" s="49">
        <v>0</v>
      </c>
      <c r="N190" s="47" t="str">
        <f>'[1]MOTOR 15'!E93</f>
        <v>N/A</v>
      </c>
      <c r="O190" s="48" t="str">
        <f>'[1]MOTOR 15'!D93</f>
        <v>N/A</v>
      </c>
      <c r="P190" s="49">
        <v>0</v>
      </c>
      <c r="Q190" s="50"/>
      <c r="R190" s="51" t="e">
        <f t="shared" si="2"/>
        <v>#N/A</v>
      </c>
      <c r="S190" s="52"/>
    </row>
    <row r="191" spans="1:19" ht="16" x14ac:dyDescent="0.2">
      <c r="A191" s="50">
        <v>181.324912891986</v>
      </c>
      <c r="B191" s="41" t="s">
        <v>16</v>
      </c>
      <c r="C191" s="41" t="s">
        <v>16</v>
      </c>
      <c r="D191" s="41" t="s">
        <v>18</v>
      </c>
      <c r="E191" s="42" t="s">
        <v>302</v>
      </c>
      <c r="F191" s="41"/>
      <c r="G191" s="43" t="str">
        <f>'[1]MOTOR 16'!D94</f>
        <v>PENDING</v>
      </c>
      <c r="H191" s="63" t="s">
        <v>303</v>
      </c>
      <c r="I191" s="45" t="s">
        <v>19</v>
      </c>
      <c r="J191" s="46" t="s">
        <v>2</v>
      </c>
      <c r="K191" s="47" t="str">
        <f>'[1]MOTOR 16'!E92</f>
        <v>##</v>
      </c>
      <c r="L191" s="48" t="str">
        <f>'[1]MOTOR 16'!D92</f>
        <v>PENDING APPROVAL</v>
      </c>
      <c r="M191" s="49">
        <v>0</v>
      </c>
      <c r="N191" s="47" t="str">
        <f>'[1]MOTOR 16'!E93</f>
        <v>N/A</v>
      </c>
      <c r="O191" s="48" t="str">
        <f>'[1]MOTOR 16'!D93</f>
        <v>N/A</v>
      </c>
      <c r="P191" s="49">
        <v>0</v>
      </c>
      <c r="Q191" s="50"/>
      <c r="R191" s="51" t="e">
        <f t="shared" si="2"/>
        <v>#N/A</v>
      </c>
      <c r="S191" s="52"/>
    </row>
    <row r="192" spans="1:19" ht="16" x14ac:dyDescent="0.2">
      <c r="A192" s="50">
        <v>182.339721254355</v>
      </c>
      <c r="B192" s="41" t="s">
        <v>16</v>
      </c>
      <c r="C192" s="41" t="s">
        <v>16</v>
      </c>
      <c r="D192" s="41" t="s">
        <v>18</v>
      </c>
      <c r="E192" s="42" t="s">
        <v>304</v>
      </c>
      <c r="F192" s="41"/>
      <c r="G192" s="43" t="str">
        <f>'[1]MOTOR 17'!D94</f>
        <v>PENDING</v>
      </c>
      <c r="H192" s="63" t="s">
        <v>305</v>
      </c>
      <c r="I192" s="45" t="s">
        <v>19</v>
      </c>
      <c r="J192" s="46" t="s">
        <v>2</v>
      </c>
      <c r="K192" s="47" t="str">
        <f>'[1]MOTOR 17'!E92</f>
        <v>##</v>
      </c>
      <c r="L192" s="48" t="str">
        <f>'[1]MOTOR 17'!D92</f>
        <v>PENDING APPROVAL</v>
      </c>
      <c r="M192" s="49">
        <v>0</v>
      </c>
      <c r="N192" s="47" t="str">
        <f>'[1]MOTOR 17'!E93</f>
        <v>N/A</v>
      </c>
      <c r="O192" s="48" t="str">
        <f>'[1]MOTOR 17'!D93</f>
        <v>N/A</v>
      </c>
      <c r="P192" s="49">
        <v>0</v>
      </c>
      <c r="Q192" s="50"/>
      <c r="R192" s="51" t="e">
        <f t="shared" si="2"/>
        <v>#N/A</v>
      </c>
      <c r="S192" s="52"/>
    </row>
    <row r="193" spans="1:19" ht="16" x14ac:dyDescent="0.2">
      <c r="A193" s="50">
        <v>183.35452961672499</v>
      </c>
      <c r="B193" s="41" t="s">
        <v>16</v>
      </c>
      <c r="C193" s="41" t="s">
        <v>16</v>
      </c>
      <c r="D193" s="41" t="s">
        <v>18</v>
      </c>
      <c r="E193" s="42" t="s">
        <v>306</v>
      </c>
      <c r="F193" s="41"/>
      <c r="G193" s="43" t="str">
        <f>'[1]MOTOR 18'!D94</f>
        <v>PENDING</v>
      </c>
      <c r="H193" s="63" t="s">
        <v>307</v>
      </c>
      <c r="I193" s="45" t="s">
        <v>19</v>
      </c>
      <c r="J193" s="46" t="s">
        <v>2</v>
      </c>
      <c r="K193" s="47" t="str">
        <f>'[1]MOTOR 18'!E92</f>
        <v>##</v>
      </c>
      <c r="L193" s="48" t="str">
        <f>'[1]MOTOR 18'!D92</f>
        <v>PENDING APPROVAL</v>
      </c>
      <c r="M193" s="49">
        <v>0</v>
      </c>
      <c r="N193" s="47" t="str">
        <f>'[1]MOTOR 18'!E93</f>
        <v>N/A</v>
      </c>
      <c r="O193" s="48" t="str">
        <f>'[1]MOTOR 18'!D93</f>
        <v>N/A</v>
      </c>
      <c r="P193" s="49">
        <v>0</v>
      </c>
      <c r="Q193" s="50"/>
      <c r="R193" s="51" t="e">
        <f t="shared" si="2"/>
        <v>#N/A</v>
      </c>
      <c r="S193" s="52"/>
    </row>
    <row r="194" spans="1:19" ht="16" x14ac:dyDescent="0.2">
      <c r="A194" s="50">
        <v>184.36933797909401</v>
      </c>
      <c r="B194" s="41" t="s">
        <v>16</v>
      </c>
      <c r="C194" s="41" t="s">
        <v>16</v>
      </c>
      <c r="D194" s="41" t="s">
        <v>18</v>
      </c>
      <c r="E194" s="42" t="s">
        <v>308</v>
      </c>
      <c r="F194" s="41"/>
      <c r="G194" s="43" t="str">
        <f>'[1]MOTOR 19'!D94</f>
        <v>PENDING</v>
      </c>
      <c r="H194" s="63" t="s">
        <v>309</v>
      </c>
      <c r="I194" s="45" t="s">
        <v>19</v>
      </c>
      <c r="J194" s="46" t="s">
        <v>2</v>
      </c>
      <c r="K194" s="47" t="str">
        <f>'[1]MOTOR 19'!E92</f>
        <v>##</v>
      </c>
      <c r="L194" s="48" t="str">
        <f>'[1]MOTOR 19'!D92</f>
        <v>PENDING APPROVAL</v>
      </c>
      <c r="M194" s="49">
        <v>0</v>
      </c>
      <c r="N194" s="47" t="str">
        <f>'[1]MOTOR 19'!E93</f>
        <v>N/A</v>
      </c>
      <c r="O194" s="48" t="str">
        <f>'[1]MOTOR 19'!D93</f>
        <v>N/A</v>
      </c>
      <c r="P194" s="49">
        <v>0</v>
      </c>
      <c r="Q194" s="50"/>
      <c r="R194" s="51" t="e">
        <f t="shared" si="2"/>
        <v>#N/A</v>
      </c>
      <c r="S194" s="52"/>
    </row>
    <row r="195" spans="1:19" ht="16" x14ac:dyDescent="0.2">
      <c r="A195" s="50">
        <v>185.38414634146301</v>
      </c>
      <c r="B195" s="41" t="s">
        <v>16</v>
      </c>
      <c r="C195" s="41" t="s">
        <v>16</v>
      </c>
      <c r="D195" s="41" t="s">
        <v>18</v>
      </c>
      <c r="E195" s="42" t="s">
        <v>310</v>
      </c>
      <c r="F195" s="41"/>
      <c r="G195" s="43" t="str">
        <f>'[1]MOTOR 20'!D94</f>
        <v>PENDING</v>
      </c>
      <c r="H195" s="63" t="s">
        <v>311</v>
      </c>
      <c r="I195" s="45" t="s">
        <v>19</v>
      </c>
      <c r="J195" s="46" t="s">
        <v>2</v>
      </c>
      <c r="K195" s="47" t="str">
        <f>'[1]MOTOR 20'!E92</f>
        <v>##</v>
      </c>
      <c r="L195" s="48" t="str">
        <f>'[1]MOTOR 20'!D92</f>
        <v>PENDING APPROVAL</v>
      </c>
      <c r="M195" s="49">
        <v>0</v>
      </c>
      <c r="N195" s="47" t="str">
        <f>'[1]MOTOR 20'!E93</f>
        <v>N/A</v>
      </c>
      <c r="O195" s="48" t="str">
        <f>'[1]MOTOR 20'!D93</f>
        <v>N/A</v>
      </c>
      <c r="P195" s="49">
        <v>0</v>
      </c>
      <c r="Q195" s="50"/>
      <c r="R195" s="51" t="e">
        <f t="shared" si="2"/>
        <v>#N/A</v>
      </c>
      <c r="S195" s="52"/>
    </row>
    <row r="196" spans="1:19" ht="16" x14ac:dyDescent="0.2">
      <c r="A196" s="50">
        <v>186.398954703833</v>
      </c>
      <c r="B196" s="41" t="s">
        <v>16</v>
      </c>
      <c r="C196" s="41" t="s">
        <v>16</v>
      </c>
      <c r="D196" s="41" t="s">
        <v>18</v>
      </c>
      <c r="E196" s="42" t="s">
        <v>312</v>
      </c>
      <c r="F196" s="41"/>
      <c r="G196" s="43" t="str">
        <f>'[1]MOTOR 21'!D94</f>
        <v>PENDING</v>
      </c>
      <c r="H196" s="63" t="s">
        <v>313</v>
      </c>
      <c r="I196" s="45" t="s">
        <v>19</v>
      </c>
      <c r="J196" s="46" t="s">
        <v>2</v>
      </c>
      <c r="K196" s="47" t="str">
        <f>'[1]MOTOR 21'!E92</f>
        <v>##</v>
      </c>
      <c r="L196" s="48" t="str">
        <f>'[1]MOTOR 21'!D92</f>
        <v>PENDING APPROVAL</v>
      </c>
      <c r="M196" s="49">
        <v>0</v>
      </c>
      <c r="N196" s="47" t="str">
        <f>'[1]MOTOR 21'!E93</f>
        <v>N/A</v>
      </c>
      <c r="O196" s="48" t="str">
        <f>'[1]MOTOR 21'!D93</f>
        <v>N/A</v>
      </c>
      <c r="P196" s="49">
        <v>0</v>
      </c>
      <c r="Q196" s="50"/>
      <c r="R196" s="51" t="e">
        <f t="shared" si="2"/>
        <v>#N/A</v>
      </c>
      <c r="S196" s="52"/>
    </row>
    <row r="197" spans="1:19" ht="16" x14ac:dyDescent="0.2">
      <c r="A197" s="50">
        <v>187.41376306620199</v>
      </c>
      <c r="B197" s="41" t="s">
        <v>16</v>
      </c>
      <c r="C197" s="41" t="s">
        <v>16</v>
      </c>
      <c r="D197" s="41" t="s">
        <v>18</v>
      </c>
      <c r="E197" s="42" t="s">
        <v>314</v>
      </c>
      <c r="F197" s="41"/>
      <c r="G197" s="43" t="str">
        <f>'[1]MOTOR 22'!D94</f>
        <v>PENDING</v>
      </c>
      <c r="H197" s="63" t="s">
        <v>315</v>
      </c>
      <c r="I197" s="45" t="s">
        <v>19</v>
      </c>
      <c r="J197" s="46" t="s">
        <v>2</v>
      </c>
      <c r="K197" s="47" t="str">
        <f>'[1]MOTOR 22'!E92</f>
        <v>##</v>
      </c>
      <c r="L197" s="48" t="str">
        <f>'[1]MOTOR 22'!D92</f>
        <v>PENDING APPROVAL</v>
      </c>
      <c r="M197" s="49">
        <v>0</v>
      </c>
      <c r="N197" s="47" t="str">
        <f>'[1]MOTOR 22'!E93</f>
        <v>N/A</v>
      </c>
      <c r="O197" s="48" t="str">
        <f>'[1]MOTOR 22'!D93</f>
        <v>N/A</v>
      </c>
      <c r="P197" s="49">
        <v>0</v>
      </c>
      <c r="Q197" s="50"/>
      <c r="R197" s="51" t="e">
        <f t="shared" si="2"/>
        <v>#N/A</v>
      </c>
      <c r="S197" s="52"/>
    </row>
    <row r="198" spans="1:19" ht="32" x14ac:dyDescent="0.2">
      <c r="A198" s="50">
        <v>188.42857142857099</v>
      </c>
      <c r="B198" s="41" t="s">
        <v>16</v>
      </c>
      <c r="C198" s="41" t="s">
        <v>16</v>
      </c>
      <c r="D198" s="41" t="s">
        <v>18</v>
      </c>
      <c r="E198" s="42" t="s">
        <v>316</v>
      </c>
      <c r="F198" s="41"/>
      <c r="G198" s="43" t="str">
        <f>'[1]MOTOR 23'!D94</f>
        <v>PENDING</v>
      </c>
      <c r="H198" s="63" t="s">
        <v>317</v>
      </c>
      <c r="I198" s="45" t="s">
        <v>1</v>
      </c>
      <c r="J198" s="46" t="s">
        <v>11</v>
      </c>
      <c r="K198" s="47" t="str">
        <f>'[1]MOTOR 23'!E92</f>
        <v>##</v>
      </c>
      <c r="L198" s="48" t="str">
        <f>'[1]MOTOR 23'!D92</f>
        <v>PENDING APPROVAL</v>
      </c>
      <c r="M198" s="49">
        <v>0</v>
      </c>
      <c r="N198" s="47" t="str">
        <f>'[1]MOTOR 23'!E93</f>
        <v>N/A</v>
      </c>
      <c r="O198" s="48" t="str">
        <f>'[1]MOTOR 23'!D93</f>
        <v>N/A</v>
      </c>
      <c r="P198" s="49">
        <v>0</v>
      </c>
      <c r="Q198" s="50"/>
      <c r="R198" s="51" t="e">
        <f t="shared" si="2"/>
        <v>#N/A</v>
      </c>
      <c r="S198" s="52"/>
    </row>
    <row r="199" spans="1:19" ht="32" x14ac:dyDescent="0.2">
      <c r="A199" s="50">
        <v>189.44337979094101</v>
      </c>
      <c r="B199" s="41" t="s">
        <v>16</v>
      </c>
      <c r="C199" s="41" t="s">
        <v>16</v>
      </c>
      <c r="D199" s="41" t="s">
        <v>18</v>
      </c>
      <c r="E199" s="42" t="s">
        <v>318</v>
      </c>
      <c r="F199" s="41"/>
      <c r="G199" s="43" t="str">
        <f>'[1]MOTOR 24'!D94</f>
        <v>PENDING</v>
      </c>
      <c r="H199" s="63" t="s">
        <v>319</v>
      </c>
      <c r="I199" s="45" t="s">
        <v>1</v>
      </c>
      <c r="J199" s="46" t="s">
        <v>11</v>
      </c>
      <c r="K199" s="47" t="str">
        <f>'[1]MOTOR 24'!E92</f>
        <v>##</v>
      </c>
      <c r="L199" s="48" t="str">
        <f>'[1]MOTOR 24'!D92</f>
        <v>PENDING APPROVAL</v>
      </c>
      <c r="M199" s="49">
        <v>0</v>
      </c>
      <c r="N199" s="47" t="str">
        <f>'[1]MOTOR 24'!E93</f>
        <v>N/A</v>
      </c>
      <c r="O199" s="48" t="str">
        <f>'[1]MOTOR 24'!D93</f>
        <v>N/A</v>
      </c>
      <c r="P199" s="49">
        <v>0</v>
      </c>
      <c r="Q199" s="50"/>
      <c r="R199" s="51" t="e">
        <f t="shared" si="2"/>
        <v>#N/A</v>
      </c>
      <c r="S199" s="52"/>
    </row>
    <row r="200" spans="1:19" ht="32" x14ac:dyDescent="0.2">
      <c r="A200" s="50">
        <v>190.45818815331</v>
      </c>
      <c r="B200" s="41" t="s">
        <v>16</v>
      </c>
      <c r="C200" s="41" t="s">
        <v>16</v>
      </c>
      <c r="D200" s="41" t="s">
        <v>18</v>
      </c>
      <c r="E200" s="42" t="s">
        <v>320</v>
      </c>
      <c r="F200" s="41"/>
      <c r="G200" s="43" t="str">
        <f>'[1]MOTOR 25'!D94</f>
        <v>PENDING</v>
      </c>
      <c r="H200" s="63" t="s">
        <v>321</v>
      </c>
      <c r="I200" s="45" t="s">
        <v>1</v>
      </c>
      <c r="J200" s="46" t="s">
        <v>11</v>
      </c>
      <c r="K200" s="47" t="str">
        <f>'[1]MOTOR 25'!E92</f>
        <v>##</v>
      </c>
      <c r="L200" s="48" t="str">
        <f>'[1]MOTOR 25'!D92</f>
        <v>PENDING APPROVAL</v>
      </c>
      <c r="M200" s="49">
        <v>0</v>
      </c>
      <c r="N200" s="47" t="str">
        <f>'[1]MOTOR 25'!E93</f>
        <v>N/A</v>
      </c>
      <c r="O200" s="48" t="str">
        <f>'[1]MOTOR 25'!D93</f>
        <v>N/A</v>
      </c>
      <c r="P200" s="49">
        <v>0</v>
      </c>
      <c r="Q200" s="50"/>
      <c r="R200" s="51" t="e">
        <f t="shared" si="2"/>
        <v>#N/A</v>
      </c>
      <c r="S200" s="52"/>
    </row>
    <row r="201" spans="1:19" ht="16" x14ac:dyDescent="0.2">
      <c r="A201" s="50">
        <v>58.5331010452961</v>
      </c>
      <c r="B201" s="41" t="s">
        <v>7</v>
      </c>
      <c r="C201" s="41" t="s">
        <v>7</v>
      </c>
      <c r="D201" s="41" t="s">
        <v>18</v>
      </c>
      <c r="E201" s="42" t="s">
        <v>322</v>
      </c>
      <c r="F201" s="41"/>
      <c r="G201" s="43" t="str">
        <f>'[1]MOTOR 26'!D94</f>
        <v>N/A</v>
      </c>
      <c r="H201" s="63" t="s">
        <v>323</v>
      </c>
      <c r="I201" s="45" t="s">
        <v>19</v>
      </c>
      <c r="J201" s="46" t="s">
        <v>2</v>
      </c>
      <c r="K201" s="47" t="str">
        <f>'[1]MOTOR 26'!E92</f>
        <v>N/A</v>
      </c>
      <c r="L201" s="48" t="str">
        <f>'[1]MOTOR 26'!D92</f>
        <v>N/A</v>
      </c>
      <c r="M201" s="49">
        <v>0</v>
      </c>
      <c r="N201" s="47" t="str">
        <f>'[1]MOTOR 26'!E93</f>
        <v>N/A</v>
      </c>
      <c r="O201" s="48" t="str">
        <f>'[1]MOTOR 26'!D93</f>
        <v>N/A</v>
      </c>
      <c r="P201" s="49">
        <v>0</v>
      </c>
      <c r="Q201" s="50"/>
      <c r="R201" s="51" t="e">
        <f t="shared" si="1"/>
        <v>#N/A</v>
      </c>
      <c r="S201" s="52"/>
    </row>
    <row r="202" spans="1:19" ht="16" x14ac:dyDescent="0.2">
      <c r="A202" s="50">
        <v>58.5331010452961</v>
      </c>
      <c r="B202" s="41" t="s">
        <v>7</v>
      </c>
      <c r="C202" s="41" t="s">
        <v>7</v>
      </c>
      <c r="D202" s="41" t="s">
        <v>18</v>
      </c>
      <c r="E202" s="42" t="s">
        <v>324</v>
      </c>
      <c r="F202" s="41"/>
      <c r="G202" s="43" t="str">
        <f>'[1]MOTOR 27'!D94</f>
        <v>N/A</v>
      </c>
      <c r="H202" s="63" t="s">
        <v>323</v>
      </c>
      <c r="I202" s="45" t="s">
        <v>19</v>
      </c>
      <c r="J202" s="46" t="s">
        <v>2</v>
      </c>
      <c r="K202" s="47" t="str">
        <f>'[1]MOTOR 27'!E92</f>
        <v>N/A</v>
      </c>
      <c r="L202" s="48" t="str">
        <f>'[1]MOTOR 27'!D92</f>
        <v>N/A</v>
      </c>
      <c r="M202" s="49">
        <v>0</v>
      </c>
      <c r="N202" s="47" t="str">
        <f>'[1]MOTOR 27'!E93</f>
        <v>N/A</v>
      </c>
      <c r="O202" s="48" t="str">
        <f>'[1]MOTOR 27'!D93</f>
        <v>N/A</v>
      </c>
      <c r="P202" s="49">
        <v>0</v>
      </c>
      <c r="Q202" s="50"/>
      <c r="R202" s="51" t="e">
        <f t="shared" si="1"/>
        <v>#N/A</v>
      </c>
      <c r="S202" s="52"/>
    </row>
    <row r="203" spans="1:19" ht="16" x14ac:dyDescent="0.2">
      <c r="A203" s="50">
        <v>58.5331010452961</v>
      </c>
      <c r="B203" s="41" t="s">
        <v>7</v>
      </c>
      <c r="C203" s="41" t="s">
        <v>7</v>
      </c>
      <c r="D203" s="41" t="s">
        <v>18</v>
      </c>
      <c r="E203" s="42" t="s">
        <v>325</v>
      </c>
      <c r="F203" s="41"/>
      <c r="G203" s="43" t="str">
        <f>'[1]MOTOR 28'!D94</f>
        <v>N/A</v>
      </c>
      <c r="H203" s="63" t="s">
        <v>323</v>
      </c>
      <c r="I203" s="45" t="s">
        <v>19</v>
      </c>
      <c r="J203" s="46" t="s">
        <v>2</v>
      </c>
      <c r="K203" s="47" t="str">
        <f>'[1]MOTOR 28'!E92</f>
        <v>N/A</v>
      </c>
      <c r="L203" s="48" t="str">
        <f>'[1]MOTOR 28'!D92</f>
        <v>N/A</v>
      </c>
      <c r="M203" s="49">
        <v>0</v>
      </c>
      <c r="N203" s="47" t="str">
        <f>'[1]MOTOR 28'!E93</f>
        <v>N/A</v>
      </c>
      <c r="O203" s="48" t="str">
        <f>'[1]MOTOR 28'!D93</f>
        <v>N/A</v>
      </c>
      <c r="P203" s="49">
        <v>0</v>
      </c>
      <c r="Q203" s="50"/>
      <c r="R203" s="51" t="e">
        <f t="shared" si="1"/>
        <v>#N/A</v>
      </c>
      <c r="S203" s="52"/>
    </row>
    <row r="204" spans="1:19" ht="16" x14ac:dyDescent="0.2">
      <c r="A204" s="50">
        <v>58.5331010452961</v>
      </c>
      <c r="B204" s="41" t="s">
        <v>7</v>
      </c>
      <c r="C204" s="41" t="s">
        <v>7</v>
      </c>
      <c r="D204" s="41" t="s">
        <v>18</v>
      </c>
      <c r="E204" s="42" t="s">
        <v>326</v>
      </c>
      <c r="F204" s="41"/>
      <c r="G204" s="43" t="str">
        <f>'[1]MOTOR 29'!D94</f>
        <v>N/A</v>
      </c>
      <c r="H204" s="63" t="s">
        <v>323</v>
      </c>
      <c r="I204" s="45" t="s">
        <v>19</v>
      </c>
      <c r="J204" s="46" t="s">
        <v>2</v>
      </c>
      <c r="K204" s="47" t="str">
        <f>'[1]MOTOR 29'!E92</f>
        <v>N/A</v>
      </c>
      <c r="L204" s="48" t="str">
        <f>'[1]MOTOR 29'!D92</f>
        <v>N/A</v>
      </c>
      <c r="M204" s="49">
        <v>0</v>
      </c>
      <c r="N204" s="47" t="str">
        <f>'[1]MOTOR 29'!E93</f>
        <v>N/A</v>
      </c>
      <c r="O204" s="48" t="str">
        <f>'[1]MOTOR 29'!D93</f>
        <v>N/A</v>
      </c>
      <c r="P204" s="49">
        <v>0</v>
      </c>
      <c r="Q204" s="50"/>
      <c r="R204" s="51" t="e">
        <f t="shared" si="1"/>
        <v>#N/A</v>
      </c>
      <c r="S204" s="52"/>
    </row>
    <row r="205" spans="1:19" ht="16" x14ac:dyDescent="0.2">
      <c r="A205" s="50">
        <v>58.5331010452961</v>
      </c>
      <c r="B205" s="41" t="s">
        <v>7</v>
      </c>
      <c r="C205" s="41" t="s">
        <v>7</v>
      </c>
      <c r="D205" s="41" t="s">
        <v>18</v>
      </c>
      <c r="E205" s="42" t="s">
        <v>327</v>
      </c>
      <c r="F205" s="41"/>
      <c r="G205" s="43" t="str">
        <f>'[1]MOTOR 30'!D94</f>
        <v>N/A</v>
      </c>
      <c r="H205" s="63" t="s">
        <v>323</v>
      </c>
      <c r="I205" s="45" t="s">
        <v>19</v>
      </c>
      <c r="J205" s="46" t="s">
        <v>2</v>
      </c>
      <c r="K205" s="47" t="str">
        <f>'[1]MOTOR 30'!E92</f>
        <v>N/A</v>
      </c>
      <c r="L205" s="48" t="str">
        <f>'[1]MOTOR 30'!D92</f>
        <v>N/A</v>
      </c>
      <c r="M205" s="49">
        <v>0</v>
      </c>
      <c r="N205" s="47" t="str">
        <f>'[1]MOTOR 30'!E93</f>
        <v>N/A</v>
      </c>
      <c r="O205" s="48" t="str">
        <f>'[1]MOTOR 30'!D93</f>
        <v>N/A</v>
      </c>
      <c r="P205" s="49">
        <v>0</v>
      </c>
      <c r="Q205" s="50"/>
      <c r="R205" s="51" t="e">
        <f t="shared" si="1"/>
        <v>#N/A</v>
      </c>
      <c r="S205" s="52"/>
    </row>
    <row r="206" spans="1:19" ht="16" x14ac:dyDescent="0.2">
      <c r="A206" s="50">
        <v>58.5331010452961</v>
      </c>
      <c r="B206" s="41" t="s">
        <v>7</v>
      </c>
      <c r="C206" s="41" t="s">
        <v>7</v>
      </c>
      <c r="D206" s="41" t="s">
        <v>18</v>
      </c>
      <c r="E206" s="42" t="s">
        <v>328</v>
      </c>
      <c r="F206" s="41"/>
      <c r="G206" s="43" t="str">
        <f>'[1]MOTOR 31'!D94</f>
        <v>N/A</v>
      </c>
      <c r="H206" s="63" t="s">
        <v>323</v>
      </c>
      <c r="I206" s="45" t="s">
        <v>19</v>
      </c>
      <c r="J206" s="46" t="s">
        <v>2</v>
      </c>
      <c r="K206" s="47" t="str">
        <f>'[1]MOTOR 31'!E92</f>
        <v>N/A</v>
      </c>
      <c r="L206" s="48" t="str">
        <f>'[1]MOTOR 31'!D92</f>
        <v>N/A</v>
      </c>
      <c r="M206" s="49">
        <v>0</v>
      </c>
      <c r="N206" s="47" t="str">
        <f>'[1]MOTOR 31'!E93</f>
        <v>N/A</v>
      </c>
      <c r="O206" s="48" t="str">
        <f>'[1]MOTOR 31'!D93</f>
        <v>N/A</v>
      </c>
      <c r="P206" s="49">
        <v>0</v>
      </c>
      <c r="Q206" s="50"/>
      <c r="R206" s="51" t="e">
        <f t="shared" si="1"/>
        <v>#N/A</v>
      </c>
      <c r="S206" s="52"/>
    </row>
    <row r="207" spans="1:19" ht="16" x14ac:dyDescent="0.2">
      <c r="A207" s="50">
        <v>58.5331010452961</v>
      </c>
      <c r="B207" s="41" t="s">
        <v>7</v>
      </c>
      <c r="C207" s="41" t="s">
        <v>7</v>
      </c>
      <c r="D207" s="41" t="s">
        <v>18</v>
      </c>
      <c r="E207" s="42" t="s">
        <v>329</v>
      </c>
      <c r="F207" s="41"/>
      <c r="G207" s="43" t="str">
        <f>'[1]MOTOR 32'!D94</f>
        <v>N/A</v>
      </c>
      <c r="H207" s="63" t="s">
        <v>323</v>
      </c>
      <c r="I207" s="45" t="s">
        <v>19</v>
      </c>
      <c r="J207" s="46" t="s">
        <v>2</v>
      </c>
      <c r="K207" s="47" t="str">
        <f>'[1]MOTOR 32'!E92</f>
        <v>N/A</v>
      </c>
      <c r="L207" s="48" t="str">
        <f>'[1]MOTOR 32'!D92</f>
        <v>N/A</v>
      </c>
      <c r="M207" s="49">
        <v>0</v>
      </c>
      <c r="N207" s="47" t="str">
        <f>'[1]MOTOR 32'!E93</f>
        <v>N/A</v>
      </c>
      <c r="O207" s="48" t="str">
        <f>'[1]MOTOR 32'!D93</f>
        <v>N/A</v>
      </c>
      <c r="P207" s="49">
        <v>0</v>
      </c>
      <c r="Q207" s="50"/>
      <c r="R207" s="51" t="e">
        <f t="shared" si="1"/>
        <v>#N/A</v>
      </c>
      <c r="S207" s="52"/>
    </row>
    <row r="208" spans="1:19" ht="16" x14ac:dyDescent="0.2">
      <c r="A208" s="50">
        <v>58.5331010452961</v>
      </c>
      <c r="B208" s="41" t="s">
        <v>7</v>
      </c>
      <c r="C208" s="41" t="s">
        <v>7</v>
      </c>
      <c r="D208" s="41" t="s">
        <v>18</v>
      </c>
      <c r="E208" s="42" t="s">
        <v>330</v>
      </c>
      <c r="F208" s="41"/>
      <c r="G208" s="43" t="str">
        <f>'[1]MOTOR 33'!D94</f>
        <v>N/A</v>
      </c>
      <c r="H208" s="63" t="s">
        <v>323</v>
      </c>
      <c r="I208" s="45" t="s">
        <v>19</v>
      </c>
      <c r="J208" s="46" t="s">
        <v>2</v>
      </c>
      <c r="K208" s="47" t="str">
        <f>'[1]MOTOR 33'!E92</f>
        <v>N/A</v>
      </c>
      <c r="L208" s="48" t="str">
        <f>'[1]MOTOR 33'!D92</f>
        <v>N/A</v>
      </c>
      <c r="M208" s="49">
        <v>0</v>
      </c>
      <c r="N208" s="47" t="str">
        <f>'[1]MOTOR 33'!E93</f>
        <v>N/A</v>
      </c>
      <c r="O208" s="48" t="str">
        <f>'[1]MOTOR 33'!D93</f>
        <v>N/A</v>
      </c>
      <c r="P208" s="49">
        <v>0</v>
      </c>
      <c r="Q208" s="50"/>
      <c r="R208" s="51" t="e">
        <f t="shared" si="1"/>
        <v>#N/A</v>
      </c>
      <c r="S208" s="52"/>
    </row>
    <row r="209" spans="1:19" ht="16" x14ac:dyDescent="0.2">
      <c r="A209" s="50">
        <v>58.5331010452961</v>
      </c>
      <c r="B209" s="41" t="s">
        <v>7</v>
      </c>
      <c r="C209" s="41" t="s">
        <v>7</v>
      </c>
      <c r="D209" s="41" t="s">
        <v>18</v>
      </c>
      <c r="E209" s="42" t="s">
        <v>331</v>
      </c>
      <c r="F209" s="41"/>
      <c r="G209" s="43" t="str">
        <f>'[1]MOTOR 34'!D94</f>
        <v>N/A</v>
      </c>
      <c r="H209" s="63" t="s">
        <v>323</v>
      </c>
      <c r="I209" s="45" t="s">
        <v>19</v>
      </c>
      <c r="J209" s="46" t="s">
        <v>2</v>
      </c>
      <c r="K209" s="47" t="str">
        <f>'[1]MOTOR 34'!E92</f>
        <v>N/A</v>
      </c>
      <c r="L209" s="48" t="str">
        <f>'[1]MOTOR 34'!D92</f>
        <v>N/A</v>
      </c>
      <c r="M209" s="49">
        <v>0</v>
      </c>
      <c r="N209" s="47" t="str">
        <f>'[1]MOTOR 34'!E93</f>
        <v>N/A</v>
      </c>
      <c r="O209" s="48" t="str">
        <f>'[1]MOTOR 34'!D93</f>
        <v>N/A</v>
      </c>
      <c r="P209" s="49">
        <v>0</v>
      </c>
      <c r="Q209" s="50"/>
      <c r="R209" s="51" t="e">
        <f t="shared" si="1"/>
        <v>#N/A</v>
      </c>
      <c r="S209" s="52"/>
    </row>
    <row r="210" spans="1:19" ht="16" x14ac:dyDescent="0.2">
      <c r="A210" s="50">
        <v>58.5331010452961</v>
      </c>
      <c r="B210" s="41" t="s">
        <v>7</v>
      </c>
      <c r="C210" s="41" t="s">
        <v>7</v>
      </c>
      <c r="D210" s="41" t="s">
        <v>18</v>
      </c>
      <c r="E210" s="42" t="s">
        <v>332</v>
      </c>
      <c r="F210" s="41"/>
      <c r="G210" s="43" t="str">
        <f>'[1]MOTOR 35'!D94</f>
        <v>N/A</v>
      </c>
      <c r="H210" s="63" t="s">
        <v>323</v>
      </c>
      <c r="I210" s="45" t="s">
        <v>19</v>
      </c>
      <c r="J210" s="46" t="s">
        <v>2</v>
      </c>
      <c r="K210" s="47" t="str">
        <f>'[1]MOTOR 35'!E92</f>
        <v>N/A</v>
      </c>
      <c r="L210" s="48" t="str">
        <f>'[1]MOTOR 35'!D92</f>
        <v>N/A</v>
      </c>
      <c r="M210" s="49">
        <v>0</v>
      </c>
      <c r="N210" s="47" t="str">
        <f>'[1]MOTOR 35'!E93</f>
        <v>N/A</v>
      </c>
      <c r="O210" s="48" t="str">
        <f>'[1]MOTOR 35'!D93</f>
        <v>N/A</v>
      </c>
      <c r="P210" s="49">
        <v>0</v>
      </c>
      <c r="Q210" s="50"/>
      <c r="R210" s="51" t="e">
        <f t="shared" si="1"/>
        <v>#N/A</v>
      </c>
      <c r="S210" s="52"/>
    </row>
    <row r="211" spans="1:19" ht="16" x14ac:dyDescent="0.2">
      <c r="A211" s="50">
        <v>58.5331010452961</v>
      </c>
      <c r="B211" s="41" t="s">
        <v>7</v>
      </c>
      <c r="C211" s="41" t="s">
        <v>7</v>
      </c>
      <c r="D211" s="41" t="s">
        <v>18</v>
      </c>
      <c r="E211" s="42" t="s">
        <v>333</v>
      </c>
      <c r="F211" s="41"/>
      <c r="G211" s="43" t="str">
        <f>'[1]MOTOR 36'!D94</f>
        <v>N/A</v>
      </c>
      <c r="H211" s="63" t="s">
        <v>323</v>
      </c>
      <c r="I211" s="45" t="s">
        <v>19</v>
      </c>
      <c r="J211" s="46" t="s">
        <v>2</v>
      </c>
      <c r="K211" s="47" t="str">
        <f>'[1]MOTOR 36'!E92</f>
        <v>N/A</v>
      </c>
      <c r="L211" s="48" t="str">
        <f>'[1]MOTOR 36'!D92</f>
        <v>N/A</v>
      </c>
      <c r="M211" s="49">
        <v>0</v>
      </c>
      <c r="N211" s="47" t="str">
        <f>'[1]MOTOR 36'!E93</f>
        <v>N/A</v>
      </c>
      <c r="O211" s="48" t="str">
        <f>'[1]MOTOR 36'!D93</f>
        <v>N/A</v>
      </c>
      <c r="P211" s="49">
        <v>0</v>
      </c>
      <c r="Q211" s="50"/>
      <c r="R211" s="51" t="e">
        <f t="shared" si="1"/>
        <v>#N/A</v>
      </c>
      <c r="S211" s="52"/>
    </row>
    <row r="212" spans="1:19" ht="16" x14ac:dyDescent="0.2">
      <c r="A212" s="50">
        <v>58.5331010452961</v>
      </c>
      <c r="B212" s="41" t="s">
        <v>7</v>
      </c>
      <c r="C212" s="41" t="s">
        <v>7</v>
      </c>
      <c r="D212" s="41" t="s">
        <v>18</v>
      </c>
      <c r="E212" s="42" t="s">
        <v>334</v>
      </c>
      <c r="F212" s="41"/>
      <c r="G212" s="43" t="str">
        <f>'[1]MOTOR 37'!D94</f>
        <v>N/A</v>
      </c>
      <c r="H212" s="63" t="s">
        <v>323</v>
      </c>
      <c r="I212" s="45" t="s">
        <v>19</v>
      </c>
      <c r="J212" s="46" t="s">
        <v>2</v>
      </c>
      <c r="K212" s="47" t="str">
        <f>'[1]MOTOR 37'!E92</f>
        <v>N/A</v>
      </c>
      <c r="L212" s="48" t="str">
        <f>'[1]MOTOR 37'!D92</f>
        <v>N/A</v>
      </c>
      <c r="M212" s="49">
        <v>0</v>
      </c>
      <c r="N212" s="47" t="str">
        <f>'[1]MOTOR 37'!E93</f>
        <v>N/A</v>
      </c>
      <c r="O212" s="48" t="str">
        <f>'[1]MOTOR 37'!D93</f>
        <v>N/A</v>
      </c>
      <c r="P212" s="49">
        <v>0</v>
      </c>
      <c r="Q212" s="50"/>
      <c r="R212" s="51" t="e">
        <f t="shared" si="1"/>
        <v>#N/A</v>
      </c>
      <c r="S212" s="52"/>
    </row>
    <row r="213" spans="1:19" ht="16" x14ac:dyDescent="0.2">
      <c r="A213" s="50">
        <v>58.5331010452961</v>
      </c>
      <c r="B213" s="41" t="s">
        <v>7</v>
      </c>
      <c r="C213" s="41" t="s">
        <v>7</v>
      </c>
      <c r="D213" s="41" t="s">
        <v>18</v>
      </c>
      <c r="E213" s="42" t="s">
        <v>335</v>
      </c>
      <c r="F213" s="41"/>
      <c r="G213" s="43" t="str">
        <f>'[1]MOTOR 38'!D94</f>
        <v>N/A</v>
      </c>
      <c r="H213" s="63" t="s">
        <v>323</v>
      </c>
      <c r="I213" s="45" t="s">
        <v>19</v>
      </c>
      <c r="J213" s="46" t="s">
        <v>2</v>
      </c>
      <c r="K213" s="47" t="str">
        <f>'[1]MOTOR 38'!E92</f>
        <v>N/A</v>
      </c>
      <c r="L213" s="48" t="str">
        <f>'[1]MOTOR 38'!D92</f>
        <v>N/A</v>
      </c>
      <c r="M213" s="49">
        <v>0</v>
      </c>
      <c r="N213" s="47" t="str">
        <f>'[1]MOTOR 38'!E93</f>
        <v>N/A</v>
      </c>
      <c r="O213" s="48" t="str">
        <f>'[1]MOTOR 38'!D93</f>
        <v>N/A</v>
      </c>
      <c r="P213" s="49">
        <v>0</v>
      </c>
      <c r="Q213" s="50"/>
      <c r="R213" s="51" t="e">
        <f t="shared" ref="R213:R276" si="3">VLOOKUP(Q213,$AC$1:$AD$11,2,FALSE)</f>
        <v>#N/A</v>
      </c>
      <c r="S213" s="52"/>
    </row>
    <row r="214" spans="1:19" ht="16" x14ac:dyDescent="0.2">
      <c r="A214" s="50">
        <v>58.5331010452961</v>
      </c>
      <c r="B214" s="41" t="s">
        <v>7</v>
      </c>
      <c r="C214" s="41" t="s">
        <v>7</v>
      </c>
      <c r="D214" s="41" t="s">
        <v>18</v>
      </c>
      <c r="E214" s="42" t="s">
        <v>336</v>
      </c>
      <c r="F214" s="41"/>
      <c r="G214" s="43" t="str">
        <f>'[1]MOTOR 39'!D94</f>
        <v>N/A</v>
      </c>
      <c r="H214" s="63" t="s">
        <v>323</v>
      </c>
      <c r="I214" s="45" t="s">
        <v>19</v>
      </c>
      <c r="J214" s="46" t="s">
        <v>2</v>
      </c>
      <c r="K214" s="47" t="str">
        <f>'[1]MOTOR 39'!E92</f>
        <v>N/A</v>
      </c>
      <c r="L214" s="48" t="str">
        <f>'[1]MOTOR 39'!D92</f>
        <v>N/A</v>
      </c>
      <c r="M214" s="49">
        <v>0</v>
      </c>
      <c r="N214" s="47" t="str">
        <f>'[1]MOTOR 39'!E93</f>
        <v>N/A</v>
      </c>
      <c r="O214" s="48" t="str">
        <f>'[1]MOTOR 39'!D93</f>
        <v>N/A</v>
      </c>
      <c r="P214" s="49">
        <v>0</v>
      </c>
      <c r="Q214" s="50"/>
      <c r="R214" s="51" t="e">
        <f t="shared" si="3"/>
        <v>#N/A</v>
      </c>
      <c r="S214" s="52"/>
    </row>
    <row r="215" spans="1:19" ht="16" x14ac:dyDescent="0.2">
      <c r="A215" s="50">
        <v>58.5331010452961</v>
      </c>
      <c r="B215" s="41" t="s">
        <v>7</v>
      </c>
      <c r="C215" s="41" t="s">
        <v>7</v>
      </c>
      <c r="D215" s="41" t="s">
        <v>18</v>
      </c>
      <c r="E215" s="42" t="s">
        <v>337</v>
      </c>
      <c r="F215" s="41"/>
      <c r="G215" s="43" t="str">
        <f>'[1]MOTOR 40'!D94</f>
        <v>N/A</v>
      </c>
      <c r="H215" s="63" t="s">
        <v>323</v>
      </c>
      <c r="I215" s="45" t="s">
        <v>19</v>
      </c>
      <c r="J215" s="46" t="s">
        <v>2</v>
      </c>
      <c r="K215" s="47" t="str">
        <f>'[1]MOTOR 40'!E92</f>
        <v>N/A</v>
      </c>
      <c r="L215" s="48" t="str">
        <f>'[1]MOTOR 40'!D92</f>
        <v>N/A</v>
      </c>
      <c r="M215" s="49">
        <v>0</v>
      </c>
      <c r="N215" s="47" t="str">
        <f>'[1]MOTOR 40'!E93</f>
        <v>N/A</v>
      </c>
      <c r="O215" s="48" t="str">
        <f>'[1]MOTOR 40'!D93</f>
        <v>N/A</v>
      </c>
      <c r="P215" s="49">
        <v>0</v>
      </c>
      <c r="Q215" s="50"/>
      <c r="R215" s="51" t="e">
        <f t="shared" si="3"/>
        <v>#N/A</v>
      </c>
      <c r="S215" s="52"/>
    </row>
    <row r="216" spans="1:19" x14ac:dyDescent="0.2">
      <c r="A216" s="50">
        <v>206.69512195121899</v>
      </c>
      <c r="B216" s="41"/>
      <c r="C216" s="41"/>
      <c r="D216" s="41"/>
      <c r="E216" s="41"/>
      <c r="F216" s="41"/>
      <c r="G216" s="43"/>
      <c r="H216" s="56"/>
      <c r="I216" s="45"/>
      <c r="J216" s="46"/>
      <c r="K216" s="47"/>
      <c r="L216" s="48"/>
      <c r="M216" s="49">
        <v>0</v>
      </c>
      <c r="N216" s="47"/>
      <c r="O216" s="48"/>
      <c r="P216" s="49">
        <v>0</v>
      </c>
      <c r="Q216" s="50"/>
      <c r="R216" s="51" t="e">
        <f t="shared" si="3"/>
        <v>#N/A</v>
      </c>
      <c r="S216" s="52"/>
    </row>
    <row r="217" spans="1:19" x14ac:dyDescent="0.2">
      <c r="A217" s="50">
        <v>207.70993031358901</v>
      </c>
      <c r="B217" s="41"/>
      <c r="C217" s="41"/>
      <c r="D217" s="41"/>
      <c r="E217" s="41"/>
      <c r="F217" s="41"/>
      <c r="G217" s="43"/>
      <c r="H217" s="56"/>
      <c r="I217" s="45"/>
      <c r="J217" s="46"/>
      <c r="K217" s="47"/>
      <c r="L217" s="48"/>
      <c r="M217" s="49">
        <v>0</v>
      </c>
      <c r="N217" s="47"/>
      <c r="O217" s="48"/>
      <c r="P217" s="49">
        <v>0</v>
      </c>
      <c r="Q217" s="50"/>
      <c r="R217" s="51" t="e">
        <f t="shared" si="3"/>
        <v>#N/A</v>
      </c>
      <c r="S217" s="52"/>
    </row>
    <row r="218" spans="1:19" x14ac:dyDescent="0.2">
      <c r="A218" s="50">
        <v>208.72473867595801</v>
      </c>
      <c r="B218" s="41"/>
      <c r="C218" s="41"/>
      <c r="D218" s="41"/>
      <c r="E218" s="41"/>
      <c r="F218" s="41"/>
      <c r="G218" s="43"/>
      <c r="H218" s="56"/>
      <c r="I218" s="45"/>
      <c r="J218" s="46"/>
      <c r="K218" s="47"/>
      <c r="L218" s="48"/>
      <c r="M218" s="49">
        <v>0</v>
      </c>
      <c r="N218" s="47"/>
      <c r="O218" s="48"/>
      <c r="P218" s="49">
        <v>0</v>
      </c>
      <c r="Q218" s="50"/>
      <c r="R218" s="51" t="e">
        <f t="shared" si="3"/>
        <v>#N/A</v>
      </c>
      <c r="S218" s="52"/>
    </row>
    <row r="219" spans="1:19" x14ac:dyDescent="0.2">
      <c r="A219" s="50">
        <v>209.739547038327</v>
      </c>
      <c r="B219" s="41"/>
      <c r="C219" s="41"/>
      <c r="D219" s="41"/>
      <c r="E219" s="41"/>
      <c r="F219" s="41"/>
      <c r="G219" s="43"/>
      <c r="H219" s="56"/>
      <c r="I219" s="45"/>
      <c r="J219" s="46"/>
      <c r="K219" s="47"/>
      <c r="L219" s="48"/>
      <c r="M219" s="49">
        <v>0</v>
      </c>
      <c r="N219" s="47"/>
      <c r="O219" s="48"/>
      <c r="P219" s="49">
        <v>0</v>
      </c>
      <c r="Q219" s="50"/>
      <c r="R219" s="51" t="e">
        <f t="shared" si="3"/>
        <v>#N/A</v>
      </c>
      <c r="S219" s="52"/>
    </row>
    <row r="220" spans="1:19" x14ac:dyDescent="0.2">
      <c r="A220" s="50">
        <v>210.75435540069699</v>
      </c>
      <c r="B220" s="41"/>
      <c r="C220" s="41"/>
      <c r="D220" s="41"/>
      <c r="E220" s="41"/>
      <c r="F220" s="41"/>
      <c r="G220" s="43"/>
      <c r="H220" s="56"/>
      <c r="I220" s="45"/>
      <c r="J220" s="46"/>
      <c r="K220" s="47"/>
      <c r="L220" s="48"/>
      <c r="M220" s="49">
        <v>0</v>
      </c>
      <c r="N220" s="47"/>
      <c r="O220" s="48"/>
      <c r="P220" s="49">
        <v>0</v>
      </c>
      <c r="Q220" s="50"/>
      <c r="R220" s="51" t="e">
        <f t="shared" si="3"/>
        <v>#N/A</v>
      </c>
      <c r="S220" s="52"/>
    </row>
    <row r="221" spans="1:19" x14ac:dyDescent="0.2">
      <c r="A221" s="50">
        <v>211.76916376306599</v>
      </c>
      <c r="B221" s="41"/>
      <c r="C221" s="41"/>
      <c r="D221" s="41"/>
      <c r="E221" s="41"/>
      <c r="F221" s="41"/>
      <c r="G221" s="43"/>
      <c r="H221" s="56"/>
      <c r="I221" s="45"/>
      <c r="J221" s="46"/>
      <c r="K221" s="47"/>
      <c r="L221" s="48"/>
      <c r="M221" s="49">
        <v>0</v>
      </c>
      <c r="N221" s="47"/>
      <c r="O221" s="48"/>
      <c r="P221" s="49">
        <v>0</v>
      </c>
      <c r="Q221" s="50"/>
      <c r="R221" s="51" t="e">
        <f t="shared" si="3"/>
        <v>#N/A</v>
      </c>
      <c r="S221" s="52"/>
    </row>
    <row r="222" spans="1:19" x14ac:dyDescent="0.2">
      <c r="A222" s="50">
        <v>212.78397212543501</v>
      </c>
      <c r="B222" s="41"/>
      <c r="C222" s="41"/>
      <c r="D222" s="41"/>
      <c r="E222" s="41"/>
      <c r="F222" s="41"/>
      <c r="G222" s="43"/>
      <c r="H222" s="56"/>
      <c r="I222" s="45"/>
      <c r="J222" s="46"/>
      <c r="K222" s="47"/>
      <c r="L222" s="48"/>
      <c r="M222" s="49">
        <v>0</v>
      </c>
      <c r="N222" s="47"/>
      <c r="O222" s="48"/>
      <c r="P222" s="49">
        <v>0</v>
      </c>
      <c r="Q222" s="50"/>
      <c r="R222" s="51" t="e">
        <f t="shared" si="3"/>
        <v>#N/A</v>
      </c>
      <c r="S222" s="52"/>
    </row>
    <row r="223" spans="1:19" x14ac:dyDescent="0.2">
      <c r="A223" s="50">
        <v>213.798780487805</v>
      </c>
      <c r="B223" s="64"/>
      <c r="C223" s="64"/>
      <c r="D223" s="64"/>
      <c r="E223" s="64"/>
      <c r="F223" s="64"/>
      <c r="G223" s="43"/>
      <c r="H223" s="65"/>
      <c r="I223" s="66"/>
      <c r="J223" s="67"/>
      <c r="K223" s="47"/>
      <c r="L223" s="48"/>
      <c r="M223" s="49">
        <v>0</v>
      </c>
      <c r="N223" s="47"/>
      <c r="O223" s="48"/>
      <c r="P223" s="49">
        <v>0</v>
      </c>
      <c r="Q223" s="59"/>
      <c r="R223" s="51" t="e">
        <f t="shared" si="3"/>
        <v>#N/A</v>
      </c>
      <c r="S223" s="60"/>
    </row>
    <row r="224" spans="1:19" x14ac:dyDescent="0.2">
      <c r="A224" s="50">
        <v>214.813588850174</v>
      </c>
      <c r="B224" s="41"/>
      <c r="C224" s="41"/>
      <c r="D224" s="41"/>
      <c r="E224" s="41"/>
      <c r="F224" s="41"/>
      <c r="G224" s="43"/>
      <c r="H224" s="56"/>
      <c r="I224" s="45"/>
      <c r="J224" s="46"/>
      <c r="K224" s="47"/>
      <c r="L224" s="48"/>
      <c r="M224" s="49">
        <v>0</v>
      </c>
      <c r="N224" s="47"/>
      <c r="O224" s="48"/>
      <c r="P224" s="49">
        <v>0</v>
      </c>
      <c r="Q224" s="50"/>
      <c r="R224" s="51" t="e">
        <f t="shared" si="3"/>
        <v>#N/A</v>
      </c>
      <c r="S224" s="52"/>
    </row>
    <row r="225" spans="1:19" x14ac:dyDescent="0.2">
      <c r="A225" s="50">
        <v>215.828397212543</v>
      </c>
      <c r="B225" s="41"/>
      <c r="C225" s="41"/>
      <c r="D225" s="41"/>
      <c r="E225" s="41"/>
      <c r="F225" s="41"/>
      <c r="G225" s="43"/>
      <c r="H225" s="56"/>
      <c r="I225" s="45"/>
      <c r="J225" s="46"/>
      <c r="K225" s="47"/>
      <c r="L225" s="48"/>
      <c r="M225" s="49">
        <v>0</v>
      </c>
      <c r="N225" s="47"/>
      <c r="O225" s="48"/>
      <c r="P225" s="49">
        <v>0</v>
      </c>
      <c r="Q225" s="50"/>
      <c r="R225" s="51" t="e">
        <f t="shared" si="3"/>
        <v>#N/A</v>
      </c>
      <c r="S225" s="52"/>
    </row>
    <row r="226" spans="1:19" x14ac:dyDescent="0.2">
      <c r="A226" s="50">
        <v>216.84320557491299</v>
      </c>
      <c r="B226" s="41"/>
      <c r="C226" s="41"/>
      <c r="D226" s="41"/>
      <c r="E226" s="41"/>
      <c r="F226" s="41"/>
      <c r="G226" s="43"/>
      <c r="H226" s="56"/>
      <c r="I226" s="45"/>
      <c r="J226" s="46"/>
      <c r="K226" s="47"/>
      <c r="L226" s="48"/>
      <c r="M226" s="49">
        <v>0</v>
      </c>
      <c r="N226" s="47"/>
      <c r="O226" s="48"/>
      <c r="P226" s="49">
        <v>0</v>
      </c>
      <c r="Q226" s="50"/>
      <c r="R226" s="51" t="e">
        <f t="shared" si="3"/>
        <v>#N/A</v>
      </c>
      <c r="S226" s="52"/>
    </row>
    <row r="227" spans="1:19" x14ac:dyDescent="0.2">
      <c r="A227" s="50">
        <v>217.85801393728201</v>
      </c>
      <c r="B227" s="41"/>
      <c r="C227" s="41"/>
      <c r="D227" s="41"/>
      <c r="E227" s="41"/>
      <c r="F227" s="41"/>
      <c r="G227" s="43"/>
      <c r="H227" s="56"/>
      <c r="I227" s="45"/>
      <c r="J227" s="46"/>
      <c r="K227" s="47"/>
      <c r="L227" s="48"/>
      <c r="M227" s="49">
        <v>0</v>
      </c>
      <c r="N227" s="47"/>
      <c r="O227" s="48"/>
      <c r="P227" s="49">
        <v>0</v>
      </c>
      <c r="Q227" s="50"/>
      <c r="R227" s="51" t="e">
        <f t="shared" si="3"/>
        <v>#N/A</v>
      </c>
      <c r="S227" s="52"/>
    </row>
    <row r="228" spans="1:19" x14ac:dyDescent="0.2">
      <c r="A228" s="50">
        <v>218.87282229965101</v>
      </c>
      <c r="B228" s="41"/>
      <c r="C228" s="41"/>
      <c r="D228" s="41"/>
      <c r="E228" s="41"/>
      <c r="F228" s="41"/>
      <c r="G228" s="43"/>
      <c r="H228" s="56"/>
      <c r="I228" s="45"/>
      <c r="J228" s="46"/>
      <c r="K228" s="47"/>
      <c r="L228" s="48"/>
      <c r="M228" s="49">
        <v>0</v>
      </c>
      <c r="N228" s="47"/>
      <c r="O228" s="48"/>
      <c r="P228" s="49">
        <v>0</v>
      </c>
      <c r="Q228" s="50"/>
      <c r="R228" s="51" t="e">
        <f t="shared" si="3"/>
        <v>#N/A</v>
      </c>
      <c r="S228" s="52"/>
    </row>
    <row r="229" spans="1:19" x14ac:dyDescent="0.2">
      <c r="A229" s="50">
        <v>219.887630662021</v>
      </c>
      <c r="B229" s="41"/>
      <c r="C229" s="41"/>
      <c r="D229" s="41"/>
      <c r="E229" s="41"/>
      <c r="F229" s="41"/>
      <c r="G229" s="43"/>
      <c r="H229" s="56"/>
      <c r="I229" s="45"/>
      <c r="J229" s="46"/>
      <c r="K229" s="47"/>
      <c r="L229" s="48"/>
      <c r="M229" s="49">
        <v>0</v>
      </c>
      <c r="N229" s="47"/>
      <c r="O229" s="48"/>
      <c r="P229" s="49">
        <v>0</v>
      </c>
      <c r="Q229" s="50"/>
      <c r="R229" s="51" t="e">
        <f t="shared" si="3"/>
        <v>#N/A</v>
      </c>
      <c r="S229" s="52"/>
    </row>
    <row r="230" spans="1:19" x14ac:dyDescent="0.2">
      <c r="A230" s="50">
        <v>220.90243902438999</v>
      </c>
      <c r="B230" s="41"/>
      <c r="C230" s="41"/>
      <c r="D230" s="41"/>
      <c r="E230" s="41"/>
      <c r="F230" s="41"/>
      <c r="G230" s="43"/>
      <c r="H230" s="56"/>
      <c r="I230" s="45"/>
      <c r="J230" s="46"/>
      <c r="K230" s="47"/>
      <c r="L230" s="48"/>
      <c r="M230" s="49">
        <v>0</v>
      </c>
      <c r="N230" s="47"/>
      <c r="O230" s="48"/>
      <c r="P230" s="49">
        <v>0</v>
      </c>
      <c r="Q230" s="50"/>
      <c r="R230" s="51" t="e">
        <f t="shared" si="3"/>
        <v>#N/A</v>
      </c>
      <c r="S230" s="52"/>
    </row>
    <row r="231" spans="1:19" x14ac:dyDescent="0.2">
      <c r="A231" s="50">
        <v>221.91724738675899</v>
      </c>
      <c r="B231" s="41"/>
      <c r="C231" s="41"/>
      <c r="D231" s="41"/>
      <c r="E231" s="41"/>
      <c r="F231" s="41"/>
      <c r="G231" s="43"/>
      <c r="H231" s="56"/>
      <c r="I231" s="45"/>
      <c r="J231" s="46"/>
      <c r="K231" s="47"/>
      <c r="L231" s="48"/>
      <c r="M231" s="49">
        <v>0</v>
      </c>
      <c r="N231" s="47"/>
      <c r="O231" s="48"/>
      <c r="P231" s="49">
        <v>0</v>
      </c>
      <c r="Q231" s="50"/>
      <c r="R231" s="51" t="e">
        <f t="shared" si="3"/>
        <v>#N/A</v>
      </c>
      <c r="S231" s="52"/>
    </row>
    <row r="232" spans="1:19" x14ac:dyDescent="0.2">
      <c r="A232" s="50">
        <v>222.93205574912901</v>
      </c>
      <c r="B232" s="41"/>
      <c r="C232" s="41"/>
      <c r="D232" s="41"/>
      <c r="E232" s="41"/>
      <c r="F232" s="41"/>
      <c r="G232" s="43"/>
      <c r="H232" s="56"/>
      <c r="I232" s="45"/>
      <c r="J232" s="46"/>
      <c r="K232" s="47"/>
      <c r="L232" s="48"/>
      <c r="M232" s="49">
        <v>0</v>
      </c>
      <c r="N232" s="47"/>
      <c r="O232" s="48"/>
      <c r="P232" s="49">
        <v>0</v>
      </c>
      <c r="Q232" s="50"/>
      <c r="R232" s="51" t="e">
        <f t="shared" si="3"/>
        <v>#N/A</v>
      </c>
      <c r="S232" s="52"/>
    </row>
    <row r="233" spans="1:19" x14ac:dyDescent="0.2">
      <c r="A233" s="50">
        <v>223.946864111498</v>
      </c>
      <c r="B233" s="41"/>
      <c r="C233" s="41"/>
      <c r="D233" s="41"/>
      <c r="E233" s="41"/>
      <c r="F233" s="41"/>
      <c r="G233" s="43"/>
      <c r="H233" s="56"/>
      <c r="I233" s="45"/>
      <c r="J233" s="46"/>
      <c r="K233" s="47"/>
      <c r="L233" s="48"/>
      <c r="M233" s="49">
        <v>0</v>
      </c>
      <c r="N233" s="47"/>
      <c r="O233" s="48"/>
      <c r="P233" s="49">
        <v>0</v>
      </c>
      <c r="Q233" s="50"/>
      <c r="R233" s="51" t="e">
        <f t="shared" si="3"/>
        <v>#N/A</v>
      </c>
      <c r="S233" s="52"/>
    </row>
    <row r="234" spans="1:19" x14ac:dyDescent="0.2">
      <c r="A234" s="50">
        <v>224.961672473867</v>
      </c>
      <c r="B234" s="41"/>
      <c r="C234" s="41"/>
      <c r="D234" s="41"/>
      <c r="E234" s="41"/>
      <c r="F234" s="41"/>
      <c r="G234" s="43"/>
      <c r="H234" s="56"/>
      <c r="I234" s="45"/>
      <c r="J234" s="46"/>
      <c r="K234" s="47"/>
      <c r="L234" s="48"/>
      <c r="M234" s="49">
        <v>0</v>
      </c>
      <c r="N234" s="47"/>
      <c r="O234" s="48"/>
      <c r="P234" s="49">
        <v>0</v>
      </c>
      <c r="Q234" s="50"/>
      <c r="R234" s="51" t="e">
        <f t="shared" si="3"/>
        <v>#N/A</v>
      </c>
      <c r="S234" s="52"/>
    </row>
    <row r="235" spans="1:19" x14ac:dyDescent="0.2">
      <c r="A235" s="50">
        <v>225.97648083623699</v>
      </c>
      <c r="B235" s="41"/>
      <c r="C235" s="41"/>
      <c r="D235" s="41"/>
      <c r="E235" s="41"/>
      <c r="F235" s="41"/>
      <c r="G235" s="43"/>
      <c r="H235" s="56"/>
      <c r="I235" s="45"/>
      <c r="J235" s="46"/>
      <c r="K235" s="47"/>
      <c r="L235" s="48"/>
      <c r="M235" s="49">
        <v>0</v>
      </c>
      <c r="N235" s="47"/>
      <c r="O235" s="48"/>
      <c r="P235" s="49">
        <v>0</v>
      </c>
      <c r="Q235" s="50"/>
      <c r="R235" s="51" t="e">
        <f t="shared" si="3"/>
        <v>#N/A</v>
      </c>
      <c r="S235" s="52"/>
    </row>
    <row r="236" spans="1:19" x14ac:dyDescent="0.2">
      <c r="A236" s="50">
        <v>226.99128919860601</v>
      </c>
      <c r="B236" s="41"/>
      <c r="C236" s="41"/>
      <c r="D236" s="41"/>
      <c r="E236" s="41"/>
      <c r="F236" s="41"/>
      <c r="G236" s="43"/>
      <c r="H236" s="56"/>
      <c r="I236" s="45"/>
      <c r="J236" s="46"/>
      <c r="K236" s="47"/>
      <c r="L236" s="48"/>
      <c r="M236" s="49">
        <v>0</v>
      </c>
      <c r="N236" s="47"/>
      <c r="O236" s="48"/>
      <c r="P236" s="49">
        <v>0</v>
      </c>
      <c r="Q236" s="50"/>
      <c r="R236" s="51" t="e">
        <f t="shared" si="3"/>
        <v>#N/A</v>
      </c>
      <c r="S236" s="52"/>
    </row>
    <row r="237" spans="1:19" x14ac:dyDescent="0.2">
      <c r="A237" s="50">
        <v>228.00609756097501</v>
      </c>
      <c r="B237" s="41"/>
      <c r="C237" s="41"/>
      <c r="D237" s="41"/>
      <c r="E237" s="41"/>
      <c r="F237" s="41"/>
      <c r="G237" s="43"/>
      <c r="H237" s="56"/>
      <c r="I237" s="45"/>
      <c r="J237" s="46"/>
      <c r="K237" s="47"/>
      <c r="L237" s="48"/>
      <c r="M237" s="49">
        <v>0</v>
      </c>
      <c r="N237" s="47"/>
      <c r="O237" s="48"/>
      <c r="P237" s="49">
        <v>0</v>
      </c>
      <c r="Q237" s="50"/>
      <c r="R237" s="51" t="e">
        <f t="shared" si="3"/>
        <v>#N/A</v>
      </c>
      <c r="S237" s="52"/>
    </row>
    <row r="238" spans="1:19" x14ac:dyDescent="0.2">
      <c r="A238" s="50">
        <v>229.020905923345</v>
      </c>
      <c r="B238" s="41"/>
      <c r="C238" s="41"/>
      <c r="D238" s="41"/>
      <c r="E238" s="41"/>
      <c r="F238" s="41"/>
      <c r="G238" s="43"/>
      <c r="H238" s="56"/>
      <c r="I238" s="45"/>
      <c r="J238" s="46"/>
      <c r="K238" s="47"/>
      <c r="L238" s="48"/>
      <c r="M238" s="49">
        <v>0</v>
      </c>
      <c r="N238" s="47"/>
      <c r="O238" s="48"/>
      <c r="P238" s="49">
        <v>0</v>
      </c>
      <c r="Q238" s="50"/>
      <c r="R238" s="51" t="e">
        <f t="shared" si="3"/>
        <v>#N/A</v>
      </c>
      <c r="S238" s="52"/>
    </row>
    <row r="239" spans="1:19" x14ac:dyDescent="0.2">
      <c r="A239" s="50">
        <v>230.03571428571399</v>
      </c>
      <c r="B239" s="41"/>
      <c r="C239" s="41"/>
      <c r="D239" s="41"/>
      <c r="E239" s="41"/>
      <c r="F239" s="41"/>
      <c r="G239" s="43"/>
      <c r="H239" s="56"/>
      <c r="I239" s="45"/>
      <c r="J239" s="46"/>
      <c r="K239" s="47"/>
      <c r="L239" s="48"/>
      <c r="M239" s="49">
        <v>0</v>
      </c>
      <c r="N239" s="47"/>
      <c r="O239" s="48"/>
      <c r="P239" s="49">
        <v>0</v>
      </c>
      <c r="Q239" s="50"/>
      <c r="R239" s="51" t="e">
        <f t="shared" si="3"/>
        <v>#N/A</v>
      </c>
      <c r="S239" s="52"/>
    </row>
    <row r="240" spans="1:19" x14ac:dyDescent="0.2">
      <c r="A240" s="50">
        <v>231.05052264808299</v>
      </c>
      <c r="B240" s="41"/>
      <c r="C240" s="41"/>
      <c r="D240" s="41"/>
      <c r="E240" s="41"/>
      <c r="F240" s="41"/>
      <c r="G240" s="43"/>
      <c r="H240" s="56"/>
      <c r="I240" s="45"/>
      <c r="J240" s="46"/>
      <c r="K240" s="47"/>
      <c r="L240" s="48"/>
      <c r="M240" s="49">
        <v>0</v>
      </c>
      <c r="N240" s="47"/>
      <c r="O240" s="48"/>
      <c r="P240" s="49">
        <v>0</v>
      </c>
      <c r="Q240" s="50"/>
      <c r="R240" s="51" t="e">
        <f t="shared" si="3"/>
        <v>#N/A</v>
      </c>
      <c r="S240" s="52"/>
    </row>
    <row r="241" spans="1:19" x14ac:dyDescent="0.2">
      <c r="A241" s="50">
        <v>232.06533101045301</v>
      </c>
      <c r="B241" s="41"/>
      <c r="C241" s="41"/>
      <c r="D241" s="41"/>
      <c r="E241" s="41"/>
      <c r="F241" s="41"/>
      <c r="G241" s="43"/>
      <c r="H241" s="56"/>
      <c r="I241" s="45"/>
      <c r="J241" s="46"/>
      <c r="K241" s="47"/>
      <c r="L241" s="48"/>
      <c r="M241" s="49">
        <v>0</v>
      </c>
      <c r="N241" s="47"/>
      <c r="O241" s="48"/>
      <c r="P241" s="49">
        <v>0</v>
      </c>
      <c r="Q241" s="50"/>
      <c r="R241" s="51" t="e">
        <f t="shared" si="3"/>
        <v>#N/A</v>
      </c>
      <c r="S241" s="52"/>
    </row>
    <row r="242" spans="1:19" x14ac:dyDescent="0.2">
      <c r="A242" s="50">
        <v>233.080139372822</v>
      </c>
      <c r="B242" s="41"/>
      <c r="C242" s="41"/>
      <c r="D242" s="41"/>
      <c r="E242" s="41"/>
      <c r="F242" s="41"/>
      <c r="G242" s="43"/>
      <c r="H242" s="56"/>
      <c r="I242" s="45"/>
      <c r="J242" s="46"/>
      <c r="K242" s="47"/>
      <c r="L242" s="48"/>
      <c r="M242" s="49">
        <v>0</v>
      </c>
      <c r="N242" s="47"/>
      <c r="O242" s="48"/>
      <c r="P242" s="49">
        <v>0</v>
      </c>
      <c r="Q242" s="50"/>
      <c r="R242" s="51" t="e">
        <f t="shared" si="3"/>
        <v>#N/A</v>
      </c>
      <c r="S242" s="52"/>
    </row>
    <row r="243" spans="1:19" x14ac:dyDescent="0.2">
      <c r="A243" s="50">
        <v>234.094947735191</v>
      </c>
      <c r="B243" s="41"/>
      <c r="C243" s="41"/>
      <c r="D243" s="41"/>
      <c r="E243" s="41"/>
      <c r="F243" s="41"/>
      <c r="G243" s="43"/>
      <c r="H243" s="56"/>
      <c r="I243" s="45"/>
      <c r="J243" s="46"/>
      <c r="K243" s="47"/>
      <c r="L243" s="48"/>
      <c r="M243" s="49">
        <v>0</v>
      </c>
      <c r="N243" s="47"/>
      <c r="O243" s="48"/>
      <c r="P243" s="49">
        <v>0</v>
      </c>
      <c r="Q243" s="50"/>
      <c r="R243" s="51" t="e">
        <f t="shared" si="3"/>
        <v>#N/A</v>
      </c>
      <c r="S243" s="52"/>
    </row>
    <row r="244" spans="1:19" x14ac:dyDescent="0.2">
      <c r="A244" s="50">
        <v>235.10975609756099</v>
      </c>
      <c r="B244" s="41"/>
      <c r="C244" s="41"/>
      <c r="D244" s="41"/>
      <c r="E244" s="41"/>
      <c r="F244" s="41"/>
      <c r="G244" s="43"/>
      <c r="H244" s="56"/>
      <c r="I244" s="45"/>
      <c r="J244" s="46"/>
      <c r="K244" s="47"/>
      <c r="L244" s="48"/>
      <c r="M244" s="49">
        <v>0</v>
      </c>
      <c r="N244" s="47"/>
      <c r="O244" s="48"/>
      <c r="P244" s="49">
        <v>0</v>
      </c>
      <c r="Q244" s="50"/>
      <c r="R244" s="51" t="e">
        <f t="shared" si="3"/>
        <v>#N/A</v>
      </c>
      <c r="S244" s="52"/>
    </row>
    <row r="245" spans="1:19" x14ac:dyDescent="0.2">
      <c r="A245" s="50">
        <v>236.12456445993001</v>
      </c>
      <c r="B245" s="41"/>
      <c r="C245" s="41"/>
      <c r="D245" s="41"/>
      <c r="E245" s="41"/>
      <c r="F245" s="41"/>
      <c r="G245" s="43"/>
      <c r="H245" s="56"/>
      <c r="I245" s="45"/>
      <c r="J245" s="46"/>
      <c r="K245" s="47"/>
      <c r="L245" s="48"/>
      <c r="M245" s="49">
        <v>0</v>
      </c>
      <c r="N245" s="47"/>
      <c r="O245" s="48"/>
      <c r="P245" s="49">
        <v>0</v>
      </c>
      <c r="Q245" s="50"/>
      <c r="R245" s="51" t="e">
        <f t="shared" si="3"/>
        <v>#N/A</v>
      </c>
      <c r="S245" s="52"/>
    </row>
    <row r="246" spans="1:19" x14ac:dyDescent="0.2">
      <c r="A246" s="50">
        <v>237.13937282229901</v>
      </c>
      <c r="B246" s="41"/>
      <c r="C246" s="41"/>
      <c r="D246" s="41"/>
      <c r="E246" s="41"/>
      <c r="F246" s="41"/>
      <c r="G246" s="43"/>
      <c r="H246" s="56"/>
      <c r="I246" s="45"/>
      <c r="J246" s="46"/>
      <c r="K246" s="47"/>
      <c r="L246" s="48"/>
      <c r="M246" s="49">
        <v>0</v>
      </c>
      <c r="N246" s="47"/>
      <c r="O246" s="48"/>
      <c r="P246" s="49">
        <v>0</v>
      </c>
      <c r="Q246" s="50"/>
      <c r="R246" s="51" t="e">
        <f t="shared" si="3"/>
        <v>#N/A</v>
      </c>
      <c r="S246" s="52"/>
    </row>
    <row r="247" spans="1:19" x14ac:dyDescent="0.2">
      <c r="A247" s="50">
        <v>238.154181184669</v>
      </c>
      <c r="B247" s="41"/>
      <c r="C247" s="41"/>
      <c r="D247" s="41"/>
      <c r="E247" s="41"/>
      <c r="F247" s="41"/>
      <c r="G247" s="43"/>
      <c r="H247" s="56"/>
      <c r="I247" s="45"/>
      <c r="J247" s="46"/>
      <c r="K247" s="47"/>
      <c r="L247" s="48"/>
      <c r="M247" s="49">
        <v>0</v>
      </c>
      <c r="N247" s="47"/>
      <c r="O247" s="48"/>
      <c r="P247" s="49">
        <v>0</v>
      </c>
      <c r="Q247" s="50"/>
      <c r="R247" s="51" t="e">
        <f t="shared" si="3"/>
        <v>#N/A</v>
      </c>
      <c r="S247" s="52"/>
    </row>
    <row r="248" spans="1:19" x14ac:dyDescent="0.2">
      <c r="A248" s="50">
        <v>239.168989547038</v>
      </c>
      <c r="B248" s="41"/>
      <c r="C248" s="41"/>
      <c r="D248" s="41"/>
      <c r="E248" s="41"/>
      <c r="F248" s="41"/>
      <c r="G248" s="43"/>
      <c r="H248" s="56"/>
      <c r="I248" s="45"/>
      <c r="J248" s="46"/>
      <c r="K248" s="47"/>
      <c r="L248" s="48"/>
      <c r="M248" s="49">
        <v>0</v>
      </c>
      <c r="N248" s="47"/>
      <c r="O248" s="48"/>
      <c r="P248" s="49">
        <v>0</v>
      </c>
      <c r="Q248" s="50"/>
      <c r="R248" s="51" t="e">
        <f t="shared" si="3"/>
        <v>#N/A</v>
      </c>
      <c r="S248" s="52"/>
    </row>
    <row r="249" spans="1:19" x14ac:dyDescent="0.2">
      <c r="A249" s="50">
        <v>240.18379790940699</v>
      </c>
      <c r="B249" s="41"/>
      <c r="C249" s="41"/>
      <c r="D249" s="41"/>
      <c r="E249" s="41"/>
      <c r="F249" s="41"/>
      <c r="G249" s="43"/>
      <c r="H249" s="56"/>
      <c r="I249" s="45"/>
      <c r="J249" s="46"/>
      <c r="K249" s="47"/>
      <c r="L249" s="48"/>
      <c r="M249" s="49">
        <v>0</v>
      </c>
      <c r="N249" s="47"/>
      <c r="O249" s="48"/>
      <c r="P249" s="49">
        <v>0</v>
      </c>
      <c r="Q249" s="50"/>
      <c r="R249" s="51" t="e">
        <f t="shared" si="3"/>
        <v>#N/A</v>
      </c>
      <c r="S249" s="52"/>
    </row>
    <row r="250" spans="1:19" x14ac:dyDescent="0.2">
      <c r="A250" s="50">
        <v>241.19860627177701</v>
      </c>
      <c r="B250" s="41"/>
      <c r="C250" s="41"/>
      <c r="D250" s="41"/>
      <c r="E250" s="41"/>
      <c r="F250" s="41"/>
      <c r="G250" s="43"/>
      <c r="H250" s="56"/>
      <c r="I250" s="45"/>
      <c r="J250" s="46"/>
      <c r="K250" s="47"/>
      <c r="L250" s="48"/>
      <c r="M250" s="49">
        <v>0</v>
      </c>
      <c r="N250" s="47"/>
      <c r="O250" s="48"/>
      <c r="P250" s="49">
        <v>0</v>
      </c>
      <c r="Q250" s="50"/>
      <c r="R250" s="51" t="e">
        <f t="shared" si="3"/>
        <v>#N/A</v>
      </c>
      <c r="S250" s="52"/>
    </row>
    <row r="251" spans="1:19" x14ac:dyDescent="0.2">
      <c r="A251" s="50">
        <v>242.21341463414601</v>
      </c>
      <c r="B251" s="41"/>
      <c r="C251" s="41"/>
      <c r="D251" s="41"/>
      <c r="E251" s="41"/>
      <c r="F251" s="41"/>
      <c r="G251" s="43"/>
      <c r="H251" s="56"/>
      <c r="I251" s="45"/>
      <c r="J251" s="46"/>
      <c r="K251" s="47"/>
      <c r="L251" s="48"/>
      <c r="M251" s="49">
        <v>0</v>
      </c>
      <c r="N251" s="47"/>
      <c r="O251" s="48"/>
      <c r="P251" s="49">
        <v>0</v>
      </c>
      <c r="Q251" s="50"/>
      <c r="R251" s="51" t="e">
        <f t="shared" si="3"/>
        <v>#N/A</v>
      </c>
      <c r="S251" s="52"/>
    </row>
    <row r="252" spans="1:19" x14ac:dyDescent="0.2">
      <c r="A252" s="50">
        <v>243.228222996516</v>
      </c>
      <c r="B252" s="41"/>
      <c r="C252" s="41"/>
      <c r="D252" s="41"/>
      <c r="E252" s="41"/>
      <c r="F252" s="41"/>
      <c r="G252" s="43"/>
      <c r="H252" s="56"/>
      <c r="I252" s="45"/>
      <c r="J252" s="46"/>
      <c r="K252" s="47"/>
      <c r="L252" s="48"/>
      <c r="M252" s="49">
        <v>0</v>
      </c>
      <c r="N252" s="47"/>
      <c r="O252" s="48"/>
      <c r="P252" s="49">
        <v>0</v>
      </c>
      <c r="Q252" s="50"/>
      <c r="R252" s="51" t="e">
        <f t="shared" si="3"/>
        <v>#N/A</v>
      </c>
      <c r="S252" s="52"/>
    </row>
    <row r="253" spans="1:19" x14ac:dyDescent="0.2">
      <c r="A253" s="50">
        <v>244.24303135888499</v>
      </c>
      <c r="B253" s="41"/>
      <c r="C253" s="41"/>
      <c r="D253" s="41"/>
      <c r="E253" s="41"/>
      <c r="F253" s="41"/>
      <c r="G253" s="43"/>
      <c r="H253" s="56"/>
      <c r="I253" s="45"/>
      <c r="J253" s="46"/>
      <c r="K253" s="47"/>
      <c r="L253" s="48"/>
      <c r="M253" s="49">
        <v>0</v>
      </c>
      <c r="N253" s="47"/>
      <c r="O253" s="48"/>
      <c r="P253" s="49">
        <v>0</v>
      </c>
      <c r="Q253" s="50"/>
      <c r="R253" s="51" t="e">
        <f t="shared" si="3"/>
        <v>#N/A</v>
      </c>
      <c r="S253" s="52"/>
    </row>
    <row r="254" spans="1:19" x14ac:dyDescent="0.2">
      <c r="A254" s="50">
        <v>245.25783972125399</v>
      </c>
      <c r="B254" s="41"/>
      <c r="C254" s="41"/>
      <c r="D254" s="41"/>
      <c r="E254" s="41"/>
      <c r="F254" s="41"/>
      <c r="G254" s="43"/>
      <c r="H254" s="56"/>
      <c r="I254" s="45"/>
      <c r="J254" s="46"/>
      <c r="K254" s="47"/>
      <c r="L254" s="48"/>
      <c r="M254" s="49">
        <v>0</v>
      </c>
      <c r="N254" s="47"/>
      <c r="O254" s="48"/>
      <c r="P254" s="49">
        <v>0</v>
      </c>
      <c r="Q254" s="50"/>
      <c r="R254" s="51" t="e">
        <f t="shared" si="3"/>
        <v>#N/A</v>
      </c>
      <c r="S254" s="52"/>
    </row>
    <row r="255" spans="1:19" x14ac:dyDescent="0.2">
      <c r="A255" s="50">
        <v>246.27264808362401</v>
      </c>
      <c r="B255" s="41"/>
      <c r="C255" s="41"/>
      <c r="D255" s="41"/>
      <c r="E255" s="41"/>
      <c r="F255" s="41"/>
      <c r="G255" s="43"/>
      <c r="H255" s="56"/>
      <c r="I255" s="45"/>
      <c r="J255" s="46"/>
      <c r="K255" s="47"/>
      <c r="L255" s="48"/>
      <c r="M255" s="49">
        <v>0</v>
      </c>
      <c r="N255" s="47"/>
      <c r="O255" s="48"/>
      <c r="P255" s="49">
        <v>0</v>
      </c>
      <c r="Q255" s="50"/>
      <c r="R255" s="51" t="e">
        <f t="shared" si="3"/>
        <v>#N/A</v>
      </c>
      <c r="S255" s="52"/>
    </row>
    <row r="256" spans="1:19" x14ac:dyDescent="0.2">
      <c r="A256" s="50">
        <v>247.287456445993</v>
      </c>
      <c r="B256" s="41"/>
      <c r="C256" s="41"/>
      <c r="D256" s="41"/>
      <c r="E256" s="41"/>
      <c r="F256" s="41"/>
      <c r="G256" s="43"/>
      <c r="H256" s="56"/>
      <c r="I256" s="45"/>
      <c r="J256" s="46"/>
      <c r="K256" s="47"/>
      <c r="L256" s="48"/>
      <c r="M256" s="49">
        <v>0</v>
      </c>
      <c r="N256" s="47"/>
      <c r="O256" s="48"/>
      <c r="P256" s="49">
        <v>0</v>
      </c>
      <c r="Q256" s="50"/>
      <c r="R256" s="51" t="e">
        <f t="shared" si="3"/>
        <v>#N/A</v>
      </c>
      <c r="S256" s="52"/>
    </row>
    <row r="257" spans="1:19" x14ac:dyDescent="0.2">
      <c r="A257" s="50">
        <v>248.302264808362</v>
      </c>
      <c r="B257" s="41"/>
      <c r="C257" s="41"/>
      <c r="D257" s="41"/>
      <c r="E257" s="41"/>
      <c r="F257" s="41"/>
      <c r="G257" s="43"/>
      <c r="H257" s="56"/>
      <c r="I257" s="45"/>
      <c r="J257" s="46"/>
      <c r="K257" s="47"/>
      <c r="L257" s="48"/>
      <c r="M257" s="49">
        <v>0</v>
      </c>
      <c r="N257" s="47"/>
      <c r="O257" s="48"/>
      <c r="P257" s="49">
        <v>0</v>
      </c>
      <c r="Q257" s="50"/>
      <c r="R257" s="51" t="e">
        <f t="shared" si="3"/>
        <v>#N/A</v>
      </c>
      <c r="S257" s="52"/>
    </row>
    <row r="258" spans="1:19" x14ac:dyDescent="0.2">
      <c r="A258" s="50">
        <v>249.31707317073199</v>
      </c>
      <c r="B258" s="41"/>
      <c r="C258" s="41"/>
      <c r="D258" s="41"/>
      <c r="E258" s="41"/>
      <c r="F258" s="41"/>
      <c r="G258" s="43"/>
      <c r="H258" s="56"/>
      <c r="I258" s="45"/>
      <c r="J258" s="46"/>
      <c r="K258" s="47"/>
      <c r="L258" s="48"/>
      <c r="M258" s="49">
        <v>0</v>
      </c>
      <c r="N258" s="47"/>
      <c r="O258" s="48"/>
      <c r="P258" s="49">
        <v>0</v>
      </c>
      <c r="Q258" s="50"/>
      <c r="R258" s="51" t="e">
        <f t="shared" si="3"/>
        <v>#N/A</v>
      </c>
      <c r="S258" s="52"/>
    </row>
    <row r="259" spans="1:19" x14ac:dyDescent="0.2">
      <c r="A259" s="50">
        <v>250.33188153310101</v>
      </c>
      <c r="B259" s="41"/>
      <c r="C259" s="41"/>
      <c r="D259" s="41"/>
      <c r="E259" s="41"/>
      <c r="F259" s="41"/>
      <c r="G259" s="43"/>
      <c r="H259" s="56"/>
      <c r="I259" s="45"/>
      <c r="J259" s="46"/>
      <c r="K259" s="47"/>
      <c r="L259" s="48"/>
      <c r="M259" s="49">
        <v>0</v>
      </c>
      <c r="N259" s="47"/>
      <c r="O259" s="48"/>
      <c r="P259" s="49">
        <v>0</v>
      </c>
      <c r="Q259" s="50"/>
      <c r="R259" s="51" t="e">
        <f t="shared" si="3"/>
        <v>#N/A</v>
      </c>
      <c r="S259" s="52"/>
    </row>
    <row r="260" spans="1:19" x14ac:dyDescent="0.2">
      <c r="A260" s="50">
        <v>251.34668989547001</v>
      </c>
      <c r="B260" s="41"/>
      <c r="C260" s="41"/>
      <c r="D260" s="41"/>
      <c r="E260" s="41"/>
      <c r="F260" s="41"/>
      <c r="G260" s="43"/>
      <c r="H260" s="56"/>
      <c r="I260" s="45"/>
      <c r="J260" s="46"/>
      <c r="K260" s="47"/>
      <c r="L260" s="48"/>
      <c r="M260" s="49">
        <v>0</v>
      </c>
      <c r="N260" s="47"/>
      <c r="O260" s="48"/>
      <c r="P260" s="49">
        <v>0</v>
      </c>
      <c r="Q260" s="50"/>
      <c r="R260" s="51" t="e">
        <f t="shared" si="3"/>
        <v>#N/A</v>
      </c>
      <c r="S260" s="52"/>
    </row>
    <row r="261" spans="1:19" x14ac:dyDescent="0.2">
      <c r="A261" s="50">
        <v>252.36149825784</v>
      </c>
      <c r="B261" s="41"/>
      <c r="C261" s="41"/>
      <c r="D261" s="41"/>
      <c r="E261" s="41"/>
      <c r="F261" s="41"/>
      <c r="G261" s="43"/>
      <c r="H261" s="56"/>
      <c r="I261" s="45"/>
      <c r="J261" s="46"/>
      <c r="K261" s="47"/>
      <c r="L261" s="48"/>
      <c r="M261" s="49">
        <v>0</v>
      </c>
      <c r="N261" s="47"/>
      <c r="O261" s="48"/>
      <c r="P261" s="49">
        <v>0</v>
      </c>
      <c r="Q261" s="50"/>
      <c r="R261" s="51" t="e">
        <f t="shared" si="3"/>
        <v>#N/A</v>
      </c>
      <c r="S261" s="52"/>
    </row>
    <row r="262" spans="1:19" x14ac:dyDescent="0.2">
      <c r="A262" s="50">
        <v>253.37630662020899</v>
      </c>
      <c r="B262" s="41"/>
      <c r="C262" s="41"/>
      <c r="D262" s="41"/>
      <c r="E262" s="41"/>
      <c r="F262" s="41"/>
      <c r="G262" s="43"/>
      <c r="H262" s="56"/>
      <c r="I262" s="45"/>
      <c r="J262" s="46"/>
      <c r="K262" s="47"/>
      <c r="L262" s="48"/>
      <c r="M262" s="49">
        <v>0</v>
      </c>
      <c r="N262" s="47"/>
      <c r="O262" s="48"/>
      <c r="P262" s="49">
        <v>0</v>
      </c>
      <c r="Q262" s="50"/>
      <c r="R262" s="51" t="e">
        <f t="shared" si="3"/>
        <v>#N/A</v>
      </c>
      <c r="S262" s="52"/>
    </row>
    <row r="263" spans="1:19" x14ac:dyDescent="0.2">
      <c r="A263" s="50">
        <v>254.39111498257799</v>
      </c>
      <c r="B263" s="41"/>
      <c r="C263" s="41"/>
      <c r="D263" s="41"/>
      <c r="E263" s="41"/>
      <c r="F263" s="41"/>
      <c r="G263" s="43"/>
      <c r="H263" s="56"/>
      <c r="I263" s="45"/>
      <c r="J263" s="46"/>
      <c r="K263" s="47"/>
      <c r="L263" s="48"/>
      <c r="M263" s="49">
        <v>0</v>
      </c>
      <c r="N263" s="47"/>
      <c r="O263" s="48"/>
      <c r="P263" s="49">
        <v>0</v>
      </c>
      <c r="Q263" s="50"/>
      <c r="R263" s="51" t="e">
        <f t="shared" si="3"/>
        <v>#N/A</v>
      </c>
      <c r="S263" s="52"/>
    </row>
    <row r="264" spans="1:19" x14ac:dyDescent="0.2">
      <c r="A264" s="50">
        <v>255.40592334494801</v>
      </c>
      <c r="B264" s="41"/>
      <c r="C264" s="41"/>
      <c r="D264" s="41"/>
      <c r="E264" s="41"/>
      <c r="F264" s="41"/>
      <c r="G264" s="43"/>
      <c r="H264" s="56"/>
      <c r="I264" s="45"/>
      <c r="J264" s="46"/>
      <c r="K264" s="47"/>
      <c r="L264" s="48"/>
      <c r="M264" s="49">
        <v>0</v>
      </c>
      <c r="N264" s="47"/>
      <c r="O264" s="48"/>
      <c r="P264" s="49">
        <v>0</v>
      </c>
      <c r="Q264" s="50"/>
      <c r="R264" s="51" t="e">
        <f t="shared" si="3"/>
        <v>#N/A</v>
      </c>
      <c r="S264" s="52"/>
    </row>
    <row r="265" spans="1:19" x14ac:dyDescent="0.2">
      <c r="A265" s="50">
        <v>256.42073170731697</v>
      </c>
      <c r="B265" s="41"/>
      <c r="C265" s="41"/>
      <c r="D265" s="41"/>
      <c r="E265" s="41"/>
      <c r="F265" s="41"/>
      <c r="G265" s="43"/>
      <c r="H265" s="56"/>
      <c r="I265" s="45"/>
      <c r="J265" s="46"/>
      <c r="K265" s="47"/>
      <c r="L265" s="48"/>
      <c r="M265" s="49">
        <v>0</v>
      </c>
      <c r="N265" s="47"/>
      <c r="O265" s="48"/>
      <c r="P265" s="49">
        <v>0</v>
      </c>
      <c r="Q265" s="50"/>
      <c r="R265" s="51" t="e">
        <f t="shared" si="3"/>
        <v>#N/A</v>
      </c>
      <c r="S265" s="52"/>
    </row>
    <row r="266" spans="1:19" x14ac:dyDescent="0.2">
      <c r="A266" s="50">
        <v>257.435540069686</v>
      </c>
      <c r="B266" s="41"/>
      <c r="C266" s="41"/>
      <c r="D266" s="41"/>
      <c r="E266" s="41"/>
      <c r="F266" s="41"/>
      <c r="G266" s="43"/>
      <c r="H266" s="56"/>
      <c r="I266" s="45"/>
      <c r="J266" s="46"/>
      <c r="K266" s="47"/>
      <c r="L266" s="48"/>
      <c r="M266" s="49">
        <v>0</v>
      </c>
      <c r="N266" s="47"/>
      <c r="O266" s="48"/>
      <c r="P266" s="49">
        <v>0</v>
      </c>
      <c r="Q266" s="50"/>
      <c r="R266" s="51" t="e">
        <f t="shared" si="3"/>
        <v>#N/A</v>
      </c>
      <c r="S266" s="52"/>
    </row>
    <row r="267" spans="1:19" x14ac:dyDescent="0.2">
      <c r="A267" s="50">
        <v>258.45034843205599</v>
      </c>
      <c r="B267" s="41"/>
      <c r="C267" s="41"/>
      <c r="D267" s="41"/>
      <c r="E267" s="41"/>
      <c r="F267" s="41"/>
      <c r="G267" s="43"/>
      <c r="H267" s="56"/>
      <c r="I267" s="45"/>
      <c r="J267" s="46"/>
      <c r="K267" s="47"/>
      <c r="L267" s="48"/>
      <c r="M267" s="49">
        <v>0</v>
      </c>
      <c r="N267" s="47"/>
      <c r="O267" s="48"/>
      <c r="P267" s="49">
        <v>0</v>
      </c>
      <c r="Q267" s="50"/>
      <c r="R267" s="51" t="e">
        <f t="shared" si="3"/>
        <v>#N/A</v>
      </c>
      <c r="S267" s="52"/>
    </row>
    <row r="268" spans="1:19" x14ac:dyDescent="0.2">
      <c r="A268" s="50">
        <v>259.46515679442501</v>
      </c>
      <c r="B268" s="41"/>
      <c r="C268" s="41"/>
      <c r="D268" s="41"/>
      <c r="E268" s="41"/>
      <c r="F268" s="41"/>
      <c r="G268" s="43"/>
      <c r="H268" s="56"/>
      <c r="I268" s="45"/>
      <c r="J268" s="46"/>
      <c r="K268" s="47"/>
      <c r="L268" s="48"/>
      <c r="M268" s="49">
        <v>0</v>
      </c>
      <c r="N268" s="47"/>
      <c r="O268" s="48"/>
      <c r="P268" s="49">
        <v>0</v>
      </c>
      <c r="Q268" s="50"/>
      <c r="R268" s="51" t="e">
        <f t="shared" si="3"/>
        <v>#N/A</v>
      </c>
      <c r="S268" s="52"/>
    </row>
    <row r="269" spans="1:19" x14ac:dyDescent="0.2">
      <c r="A269" s="50">
        <v>260.47996515679398</v>
      </c>
      <c r="B269" s="41"/>
      <c r="C269" s="41"/>
      <c r="D269" s="41"/>
      <c r="E269" s="41"/>
      <c r="F269" s="41"/>
      <c r="G269" s="43"/>
      <c r="H269" s="56"/>
      <c r="I269" s="45"/>
      <c r="J269" s="46"/>
      <c r="K269" s="47"/>
      <c r="L269" s="48"/>
      <c r="M269" s="49">
        <v>0</v>
      </c>
      <c r="N269" s="47"/>
      <c r="O269" s="48"/>
      <c r="P269" s="49">
        <v>0</v>
      </c>
      <c r="Q269" s="50"/>
      <c r="R269" s="51" t="e">
        <f t="shared" si="3"/>
        <v>#N/A</v>
      </c>
      <c r="S269" s="52"/>
    </row>
    <row r="270" spans="1:19" x14ac:dyDescent="0.2">
      <c r="A270" s="50">
        <v>261.49477351916403</v>
      </c>
      <c r="B270" s="41"/>
      <c r="C270" s="41"/>
      <c r="D270" s="41"/>
      <c r="E270" s="41"/>
      <c r="F270" s="41"/>
      <c r="G270" s="43"/>
      <c r="H270" s="56"/>
      <c r="I270" s="45"/>
      <c r="J270" s="46"/>
      <c r="K270" s="47"/>
      <c r="L270" s="48"/>
      <c r="M270" s="49">
        <v>0</v>
      </c>
      <c r="N270" s="47"/>
      <c r="O270" s="48"/>
      <c r="P270" s="49">
        <v>0</v>
      </c>
      <c r="Q270" s="50"/>
      <c r="R270" s="51" t="e">
        <f t="shared" si="3"/>
        <v>#N/A</v>
      </c>
      <c r="S270" s="52"/>
    </row>
    <row r="271" spans="1:19" x14ac:dyDescent="0.2">
      <c r="A271" s="50">
        <v>262.50958188153299</v>
      </c>
      <c r="B271" s="41"/>
      <c r="C271" s="41"/>
      <c r="D271" s="41"/>
      <c r="E271" s="41"/>
      <c r="F271" s="41"/>
      <c r="G271" s="43"/>
      <c r="H271" s="56"/>
      <c r="I271" s="45"/>
      <c r="J271" s="46"/>
      <c r="K271" s="47"/>
      <c r="L271" s="48"/>
      <c r="M271" s="49">
        <v>0</v>
      </c>
      <c r="N271" s="47"/>
      <c r="O271" s="48"/>
      <c r="P271" s="49">
        <v>0</v>
      </c>
      <c r="Q271" s="50"/>
      <c r="R271" s="51" t="e">
        <f t="shared" si="3"/>
        <v>#N/A</v>
      </c>
      <c r="S271" s="52"/>
    </row>
    <row r="272" spans="1:19" x14ac:dyDescent="0.2">
      <c r="A272" s="50">
        <v>263.52439024390202</v>
      </c>
      <c r="B272" s="41"/>
      <c r="C272" s="41"/>
      <c r="D272" s="41"/>
      <c r="E272" s="41"/>
      <c r="F272" s="41"/>
      <c r="G272" s="43"/>
      <c r="H272" s="56"/>
      <c r="I272" s="45"/>
      <c r="J272" s="46"/>
      <c r="K272" s="47"/>
      <c r="L272" s="48"/>
      <c r="M272" s="49">
        <v>0</v>
      </c>
      <c r="N272" s="47"/>
      <c r="O272" s="48"/>
      <c r="P272" s="49">
        <v>0</v>
      </c>
      <c r="Q272" s="50"/>
      <c r="R272" s="51" t="e">
        <f t="shared" si="3"/>
        <v>#N/A</v>
      </c>
      <c r="S272" s="52"/>
    </row>
    <row r="273" spans="1:19" x14ac:dyDescent="0.2">
      <c r="A273" s="50">
        <v>264.53919860627201</v>
      </c>
      <c r="B273" s="41"/>
      <c r="C273" s="41"/>
      <c r="D273" s="41"/>
      <c r="E273" s="41"/>
      <c r="F273" s="41"/>
      <c r="G273" s="43"/>
      <c r="H273" s="56"/>
      <c r="I273" s="45"/>
      <c r="J273" s="46"/>
      <c r="K273" s="47"/>
      <c r="L273" s="48"/>
      <c r="M273" s="49">
        <v>0</v>
      </c>
      <c r="N273" s="47"/>
      <c r="O273" s="48"/>
      <c r="P273" s="49">
        <v>0</v>
      </c>
      <c r="Q273" s="50"/>
      <c r="R273" s="51" t="e">
        <f t="shared" si="3"/>
        <v>#N/A</v>
      </c>
      <c r="S273" s="52"/>
    </row>
    <row r="274" spans="1:19" x14ac:dyDescent="0.2">
      <c r="A274" s="50">
        <v>265.55400696864098</v>
      </c>
      <c r="B274" s="41"/>
      <c r="C274" s="41"/>
      <c r="D274" s="41"/>
      <c r="E274" s="41"/>
      <c r="F274" s="41"/>
      <c r="G274" s="43"/>
      <c r="H274" s="56"/>
      <c r="I274" s="45"/>
      <c r="J274" s="46"/>
      <c r="K274" s="47"/>
      <c r="L274" s="48"/>
      <c r="M274" s="49">
        <v>0</v>
      </c>
      <c r="N274" s="47"/>
      <c r="O274" s="48"/>
      <c r="P274" s="49">
        <v>0</v>
      </c>
      <c r="Q274" s="50"/>
      <c r="R274" s="51" t="e">
        <f t="shared" si="3"/>
        <v>#N/A</v>
      </c>
      <c r="S274" s="52"/>
    </row>
    <row r="275" spans="1:19" x14ac:dyDescent="0.2">
      <c r="A275" s="50">
        <v>266.56881533101</v>
      </c>
      <c r="B275" s="41"/>
      <c r="C275" s="41"/>
      <c r="D275" s="41"/>
      <c r="E275" s="41"/>
      <c r="F275" s="41"/>
      <c r="G275" s="43"/>
      <c r="H275" s="56"/>
      <c r="I275" s="45"/>
      <c r="J275" s="46"/>
      <c r="K275" s="47"/>
      <c r="L275" s="48"/>
      <c r="M275" s="49">
        <v>0</v>
      </c>
      <c r="N275" s="47"/>
      <c r="O275" s="48"/>
      <c r="P275" s="49">
        <v>0</v>
      </c>
      <c r="Q275" s="50"/>
      <c r="R275" s="51" t="e">
        <f t="shared" si="3"/>
        <v>#N/A</v>
      </c>
      <c r="S275" s="52"/>
    </row>
    <row r="276" spans="1:19" x14ac:dyDescent="0.2">
      <c r="A276" s="50">
        <v>267.58362369337999</v>
      </c>
      <c r="B276" s="41"/>
      <c r="C276" s="41"/>
      <c r="D276" s="41"/>
      <c r="E276" s="41"/>
      <c r="F276" s="41"/>
      <c r="G276" s="43"/>
      <c r="H276" s="56"/>
      <c r="I276" s="45"/>
      <c r="J276" s="46"/>
      <c r="K276" s="47"/>
      <c r="L276" s="48"/>
      <c r="M276" s="49">
        <v>0</v>
      </c>
      <c r="N276" s="47"/>
      <c r="O276" s="48"/>
      <c r="P276" s="49">
        <v>0</v>
      </c>
      <c r="Q276" s="50"/>
      <c r="R276" s="51" t="e">
        <f t="shared" si="3"/>
        <v>#N/A</v>
      </c>
      <c r="S276" s="52"/>
    </row>
    <row r="277" spans="1:19" x14ac:dyDescent="0.2">
      <c r="A277" s="50">
        <v>268.59843205574902</v>
      </c>
      <c r="B277" s="41"/>
      <c r="C277" s="41"/>
      <c r="D277" s="41"/>
      <c r="E277" s="41"/>
      <c r="F277" s="41"/>
      <c r="G277" s="43"/>
      <c r="H277" s="56"/>
      <c r="I277" s="45"/>
      <c r="J277" s="46"/>
      <c r="K277" s="47"/>
      <c r="L277" s="48"/>
      <c r="M277" s="49">
        <v>0</v>
      </c>
      <c r="N277" s="47"/>
      <c r="O277" s="48"/>
      <c r="P277" s="49">
        <v>0</v>
      </c>
      <c r="Q277" s="50"/>
      <c r="R277" s="51" t="e">
        <f t="shared" ref="R277:R340" si="4">VLOOKUP(Q277,$AC$1:$AD$11,2,FALSE)</f>
        <v>#N/A</v>
      </c>
      <c r="S277" s="52"/>
    </row>
    <row r="278" spans="1:19" x14ac:dyDescent="0.2">
      <c r="A278" s="50">
        <v>269.61324041811798</v>
      </c>
      <c r="B278" s="41"/>
      <c r="C278" s="41"/>
      <c r="D278" s="41"/>
      <c r="E278" s="41"/>
      <c r="F278" s="41"/>
      <c r="G278" s="43"/>
      <c r="H278" s="56"/>
      <c r="I278" s="45"/>
      <c r="J278" s="46"/>
      <c r="K278" s="47"/>
      <c r="L278" s="48"/>
      <c r="M278" s="49">
        <v>0</v>
      </c>
      <c r="N278" s="47"/>
      <c r="O278" s="48"/>
      <c r="P278" s="49">
        <v>0</v>
      </c>
      <c r="Q278" s="50"/>
      <c r="R278" s="51" t="e">
        <f t="shared" si="4"/>
        <v>#N/A</v>
      </c>
      <c r="S278" s="52"/>
    </row>
    <row r="279" spans="1:19" x14ac:dyDescent="0.2">
      <c r="A279" s="50">
        <v>270.62804878048797</v>
      </c>
      <c r="B279" s="41"/>
      <c r="C279" s="41"/>
      <c r="D279" s="41"/>
      <c r="E279" s="41"/>
      <c r="F279" s="41"/>
      <c r="G279" s="43"/>
      <c r="H279" s="56"/>
      <c r="I279" s="45"/>
      <c r="J279" s="46"/>
      <c r="K279" s="47"/>
      <c r="L279" s="48"/>
      <c r="M279" s="49">
        <v>0</v>
      </c>
      <c r="N279" s="47"/>
      <c r="O279" s="48"/>
      <c r="P279" s="49">
        <v>0</v>
      </c>
      <c r="Q279" s="50"/>
      <c r="R279" s="51" t="e">
        <f t="shared" si="4"/>
        <v>#N/A</v>
      </c>
      <c r="S279" s="52"/>
    </row>
    <row r="280" spans="1:19" x14ac:dyDescent="0.2">
      <c r="A280" s="50">
        <v>271.642857142857</v>
      </c>
      <c r="B280" s="41"/>
      <c r="C280" s="41"/>
      <c r="D280" s="41"/>
      <c r="E280" s="41"/>
      <c r="F280" s="41"/>
      <c r="G280" s="43"/>
      <c r="H280" s="56"/>
      <c r="I280" s="45"/>
      <c r="J280" s="46"/>
      <c r="K280" s="47"/>
      <c r="L280" s="48"/>
      <c r="M280" s="49">
        <v>0</v>
      </c>
      <c r="N280" s="47"/>
      <c r="O280" s="48"/>
      <c r="P280" s="49">
        <v>0</v>
      </c>
      <c r="Q280" s="50"/>
      <c r="R280" s="51" t="e">
        <f t="shared" si="4"/>
        <v>#N/A</v>
      </c>
      <c r="S280" s="52"/>
    </row>
    <row r="281" spans="1:19" x14ac:dyDescent="0.2">
      <c r="A281" s="50">
        <v>272.65766550522602</v>
      </c>
      <c r="B281" s="41"/>
      <c r="C281" s="41"/>
      <c r="D281" s="41"/>
      <c r="E281" s="41"/>
      <c r="F281" s="41"/>
      <c r="G281" s="43"/>
      <c r="H281" s="56"/>
      <c r="I281" s="45"/>
      <c r="J281" s="46"/>
      <c r="K281" s="47"/>
      <c r="L281" s="48"/>
      <c r="M281" s="49">
        <v>0</v>
      </c>
      <c r="N281" s="47"/>
      <c r="O281" s="48"/>
      <c r="P281" s="49">
        <v>0</v>
      </c>
      <c r="Q281" s="50"/>
      <c r="R281" s="51" t="e">
        <f t="shared" si="4"/>
        <v>#N/A</v>
      </c>
      <c r="S281" s="52"/>
    </row>
    <row r="282" spans="1:19" x14ac:dyDescent="0.2">
      <c r="A282" s="50">
        <v>273.67247386759601</v>
      </c>
      <c r="B282" s="41"/>
      <c r="C282" s="41"/>
      <c r="D282" s="41"/>
      <c r="E282" s="41"/>
      <c r="F282" s="41"/>
      <c r="G282" s="43"/>
      <c r="H282" s="56"/>
      <c r="I282" s="45"/>
      <c r="J282" s="46"/>
      <c r="K282" s="47"/>
      <c r="L282" s="48"/>
      <c r="M282" s="49">
        <v>0</v>
      </c>
      <c r="N282" s="47"/>
      <c r="O282" s="48"/>
      <c r="P282" s="49">
        <v>0</v>
      </c>
      <c r="Q282" s="50"/>
      <c r="R282" s="51" t="e">
        <f t="shared" si="4"/>
        <v>#N/A</v>
      </c>
      <c r="S282" s="52"/>
    </row>
    <row r="283" spans="1:19" x14ac:dyDescent="0.2">
      <c r="A283" s="50">
        <v>274.68728222996498</v>
      </c>
      <c r="B283" s="41"/>
      <c r="C283" s="41"/>
      <c r="D283" s="41"/>
      <c r="E283" s="41"/>
      <c r="F283" s="41"/>
      <c r="G283" s="43"/>
      <c r="H283" s="56"/>
      <c r="I283" s="45"/>
      <c r="J283" s="46"/>
      <c r="K283" s="47"/>
      <c r="L283" s="48"/>
      <c r="M283" s="49">
        <v>0</v>
      </c>
      <c r="N283" s="47"/>
      <c r="O283" s="48"/>
      <c r="P283" s="49">
        <v>0</v>
      </c>
      <c r="Q283" s="50"/>
      <c r="R283" s="51" t="e">
        <f t="shared" si="4"/>
        <v>#N/A</v>
      </c>
      <c r="S283" s="52"/>
    </row>
    <row r="284" spans="1:19" x14ac:dyDescent="0.2">
      <c r="A284" s="50">
        <v>275.702090592334</v>
      </c>
      <c r="B284" s="41"/>
      <c r="C284" s="41"/>
      <c r="D284" s="41"/>
      <c r="E284" s="41"/>
      <c r="F284" s="41"/>
      <c r="G284" s="43"/>
      <c r="H284" s="56"/>
      <c r="I284" s="45"/>
      <c r="J284" s="46"/>
      <c r="K284" s="47"/>
      <c r="L284" s="48"/>
      <c r="M284" s="49">
        <v>0</v>
      </c>
      <c r="N284" s="47"/>
      <c r="O284" s="48"/>
      <c r="P284" s="49">
        <v>0</v>
      </c>
      <c r="Q284" s="50"/>
      <c r="R284" s="51" t="e">
        <f t="shared" si="4"/>
        <v>#N/A</v>
      </c>
      <c r="S284" s="52"/>
    </row>
    <row r="285" spans="1:19" x14ac:dyDescent="0.2">
      <c r="A285" s="50">
        <v>276.71689895470399</v>
      </c>
      <c r="B285" s="41"/>
      <c r="C285" s="41"/>
      <c r="D285" s="41"/>
      <c r="E285" s="41"/>
      <c r="F285" s="41"/>
      <c r="G285" s="43"/>
      <c r="H285" s="56"/>
      <c r="I285" s="45"/>
      <c r="J285" s="46"/>
      <c r="K285" s="47"/>
      <c r="L285" s="48"/>
      <c r="M285" s="49">
        <v>0</v>
      </c>
      <c r="N285" s="47"/>
      <c r="O285" s="48"/>
      <c r="P285" s="49">
        <v>0</v>
      </c>
      <c r="Q285" s="50"/>
      <c r="R285" s="51" t="e">
        <f t="shared" si="4"/>
        <v>#N/A</v>
      </c>
      <c r="S285" s="52"/>
    </row>
    <row r="286" spans="1:19" x14ac:dyDescent="0.2">
      <c r="A286" s="50">
        <v>277.73170731707302</v>
      </c>
      <c r="B286" s="41"/>
      <c r="C286" s="41"/>
      <c r="D286" s="41"/>
      <c r="E286" s="41"/>
      <c r="F286" s="41"/>
      <c r="G286" s="43"/>
      <c r="H286" s="56"/>
      <c r="I286" s="45"/>
      <c r="J286" s="46"/>
      <c r="K286" s="47"/>
      <c r="L286" s="48"/>
      <c r="M286" s="49">
        <v>0</v>
      </c>
      <c r="N286" s="47"/>
      <c r="O286" s="48"/>
      <c r="P286" s="49">
        <v>0</v>
      </c>
      <c r="Q286" s="50"/>
      <c r="R286" s="51" t="e">
        <f t="shared" si="4"/>
        <v>#N/A</v>
      </c>
      <c r="S286" s="52"/>
    </row>
    <row r="287" spans="1:19" x14ac:dyDescent="0.2">
      <c r="A287" s="50">
        <v>278.74651567944198</v>
      </c>
      <c r="B287" s="41"/>
      <c r="C287" s="41"/>
      <c r="D287" s="41"/>
      <c r="E287" s="41"/>
      <c r="F287" s="41"/>
      <c r="G287" s="43"/>
      <c r="H287" s="56"/>
      <c r="I287" s="45"/>
      <c r="J287" s="46"/>
      <c r="K287" s="47"/>
      <c r="L287" s="48"/>
      <c r="M287" s="49">
        <v>0</v>
      </c>
      <c r="N287" s="47"/>
      <c r="O287" s="48"/>
      <c r="P287" s="49">
        <v>0</v>
      </c>
      <c r="Q287" s="50"/>
      <c r="R287" s="51" t="e">
        <f t="shared" si="4"/>
        <v>#N/A</v>
      </c>
      <c r="S287" s="52"/>
    </row>
    <row r="288" spans="1:19" x14ac:dyDescent="0.2">
      <c r="A288" s="50">
        <v>279.76132404181197</v>
      </c>
      <c r="B288" s="41"/>
      <c r="C288" s="41"/>
      <c r="D288" s="41"/>
      <c r="E288" s="41"/>
      <c r="F288" s="41"/>
      <c r="G288" s="43"/>
      <c r="H288" s="56"/>
      <c r="I288" s="45"/>
      <c r="J288" s="46"/>
      <c r="K288" s="47"/>
      <c r="L288" s="48"/>
      <c r="M288" s="49">
        <v>0</v>
      </c>
      <c r="N288" s="47"/>
      <c r="O288" s="48"/>
      <c r="P288" s="49">
        <v>0</v>
      </c>
      <c r="Q288" s="50"/>
      <c r="R288" s="51" t="e">
        <f t="shared" si="4"/>
        <v>#N/A</v>
      </c>
      <c r="S288" s="52"/>
    </row>
    <row r="289" spans="1:19" x14ac:dyDescent="0.2">
      <c r="A289" s="50">
        <v>280.776132404181</v>
      </c>
      <c r="B289" s="41"/>
      <c r="C289" s="41"/>
      <c r="D289" s="41"/>
      <c r="E289" s="41"/>
      <c r="F289" s="41"/>
      <c r="G289" s="43"/>
      <c r="H289" s="56"/>
      <c r="I289" s="45"/>
      <c r="J289" s="46"/>
      <c r="K289" s="47"/>
      <c r="L289" s="48"/>
      <c r="M289" s="49">
        <v>0</v>
      </c>
      <c r="N289" s="47"/>
      <c r="O289" s="48"/>
      <c r="P289" s="49">
        <v>0</v>
      </c>
      <c r="Q289" s="50"/>
      <c r="R289" s="51" t="e">
        <f t="shared" si="4"/>
        <v>#N/A</v>
      </c>
      <c r="S289" s="52"/>
    </row>
    <row r="290" spans="1:19" x14ac:dyDescent="0.2">
      <c r="A290" s="50">
        <v>281.79094076655002</v>
      </c>
      <c r="B290" s="41"/>
      <c r="C290" s="41"/>
      <c r="D290" s="41"/>
      <c r="E290" s="41"/>
      <c r="F290" s="41"/>
      <c r="G290" s="43"/>
      <c r="H290" s="56"/>
      <c r="I290" s="45"/>
      <c r="J290" s="46"/>
      <c r="K290" s="47"/>
      <c r="L290" s="48"/>
      <c r="M290" s="49">
        <v>0</v>
      </c>
      <c r="N290" s="47"/>
      <c r="O290" s="48"/>
      <c r="P290" s="49">
        <v>0</v>
      </c>
      <c r="Q290" s="50"/>
      <c r="R290" s="51" t="e">
        <f t="shared" si="4"/>
        <v>#N/A</v>
      </c>
      <c r="S290" s="52"/>
    </row>
    <row r="291" spans="1:19" x14ac:dyDescent="0.2">
      <c r="A291" s="50">
        <v>282.80574912892001</v>
      </c>
      <c r="B291" s="41"/>
      <c r="C291" s="41"/>
      <c r="D291" s="41"/>
      <c r="E291" s="41"/>
      <c r="F291" s="41"/>
      <c r="G291" s="43"/>
      <c r="H291" s="56"/>
      <c r="I291" s="45"/>
      <c r="J291" s="46"/>
      <c r="K291" s="47"/>
      <c r="L291" s="48"/>
      <c r="M291" s="49">
        <v>0</v>
      </c>
      <c r="N291" s="47"/>
      <c r="O291" s="48"/>
      <c r="P291" s="49">
        <v>0</v>
      </c>
      <c r="Q291" s="50"/>
      <c r="R291" s="51" t="e">
        <f t="shared" si="4"/>
        <v>#N/A</v>
      </c>
      <c r="S291" s="52"/>
    </row>
    <row r="292" spans="1:19" x14ac:dyDescent="0.2">
      <c r="A292" s="50">
        <v>283.82055749128898</v>
      </c>
      <c r="B292" s="41"/>
      <c r="C292" s="41"/>
      <c r="D292" s="41"/>
      <c r="E292" s="41"/>
      <c r="F292" s="41"/>
      <c r="G292" s="43"/>
      <c r="H292" s="56"/>
      <c r="I292" s="45"/>
      <c r="J292" s="46"/>
      <c r="K292" s="47"/>
      <c r="L292" s="48"/>
      <c r="M292" s="49">
        <v>0</v>
      </c>
      <c r="N292" s="47"/>
      <c r="O292" s="48"/>
      <c r="P292" s="49">
        <v>0</v>
      </c>
      <c r="Q292" s="50"/>
      <c r="R292" s="51" t="e">
        <f t="shared" si="4"/>
        <v>#N/A</v>
      </c>
      <c r="S292" s="52"/>
    </row>
    <row r="293" spans="1:19" x14ac:dyDescent="0.2">
      <c r="A293" s="50">
        <v>284.835365853658</v>
      </c>
      <c r="B293" s="41"/>
      <c r="C293" s="41"/>
      <c r="D293" s="41"/>
      <c r="E293" s="41"/>
      <c r="F293" s="41"/>
      <c r="G293" s="43"/>
      <c r="H293" s="56"/>
      <c r="I293" s="45"/>
      <c r="J293" s="46"/>
      <c r="K293" s="47"/>
      <c r="L293" s="48"/>
      <c r="M293" s="49">
        <v>0</v>
      </c>
      <c r="N293" s="47"/>
      <c r="O293" s="48"/>
      <c r="P293" s="49">
        <v>0</v>
      </c>
      <c r="Q293" s="50"/>
      <c r="R293" s="51" t="e">
        <f t="shared" si="4"/>
        <v>#N/A</v>
      </c>
      <c r="S293" s="52"/>
    </row>
    <row r="294" spans="1:19" x14ac:dyDescent="0.2">
      <c r="A294" s="50">
        <v>285.85017421602799</v>
      </c>
      <c r="B294" s="41"/>
      <c r="C294" s="41"/>
      <c r="D294" s="41"/>
      <c r="E294" s="41"/>
      <c r="F294" s="41"/>
      <c r="G294" s="43"/>
      <c r="H294" s="56"/>
      <c r="I294" s="45"/>
      <c r="J294" s="46"/>
      <c r="K294" s="47"/>
      <c r="L294" s="48"/>
      <c r="M294" s="49">
        <v>0</v>
      </c>
      <c r="N294" s="47"/>
      <c r="O294" s="48"/>
      <c r="P294" s="49">
        <v>0</v>
      </c>
      <c r="Q294" s="50"/>
      <c r="R294" s="51" t="e">
        <f t="shared" si="4"/>
        <v>#N/A</v>
      </c>
      <c r="S294" s="52"/>
    </row>
    <row r="295" spans="1:19" x14ac:dyDescent="0.2">
      <c r="A295" s="50">
        <v>286.86498257839702</v>
      </c>
      <c r="B295" s="41"/>
      <c r="C295" s="41"/>
      <c r="D295" s="41"/>
      <c r="E295" s="41"/>
      <c r="F295" s="41"/>
      <c r="G295" s="43"/>
      <c r="H295" s="56"/>
      <c r="I295" s="45"/>
      <c r="J295" s="46"/>
      <c r="K295" s="47"/>
      <c r="L295" s="48"/>
      <c r="M295" s="49">
        <v>0</v>
      </c>
      <c r="N295" s="47"/>
      <c r="O295" s="48"/>
      <c r="P295" s="49">
        <v>0</v>
      </c>
      <c r="Q295" s="50"/>
      <c r="R295" s="51" t="e">
        <f t="shared" si="4"/>
        <v>#N/A</v>
      </c>
      <c r="S295" s="52"/>
    </row>
    <row r="296" spans="1:19" x14ac:dyDescent="0.2">
      <c r="A296" s="50">
        <v>287.87979094076599</v>
      </c>
      <c r="B296" s="41"/>
      <c r="C296" s="41"/>
      <c r="D296" s="41"/>
      <c r="E296" s="41"/>
      <c r="F296" s="41"/>
      <c r="G296" s="43"/>
      <c r="H296" s="56"/>
      <c r="I296" s="45"/>
      <c r="J296" s="46"/>
      <c r="K296" s="47"/>
      <c r="L296" s="48"/>
      <c r="M296" s="49">
        <v>0</v>
      </c>
      <c r="N296" s="47"/>
      <c r="O296" s="48"/>
      <c r="P296" s="49">
        <v>0</v>
      </c>
      <c r="Q296" s="50"/>
      <c r="R296" s="51" t="e">
        <f t="shared" si="4"/>
        <v>#N/A</v>
      </c>
      <c r="S296" s="52"/>
    </row>
    <row r="297" spans="1:19" x14ac:dyDescent="0.2">
      <c r="A297" s="50">
        <v>288.89459930313598</v>
      </c>
      <c r="B297" s="41"/>
      <c r="C297" s="41"/>
      <c r="D297" s="41"/>
      <c r="E297" s="41"/>
      <c r="F297" s="41"/>
      <c r="G297" s="43"/>
      <c r="H297" s="56"/>
      <c r="I297" s="45"/>
      <c r="J297" s="46"/>
      <c r="K297" s="47"/>
      <c r="L297" s="48"/>
      <c r="M297" s="49">
        <v>0</v>
      </c>
      <c r="N297" s="47"/>
      <c r="O297" s="48"/>
      <c r="P297" s="49">
        <v>0</v>
      </c>
      <c r="Q297" s="50"/>
      <c r="R297" s="51" t="e">
        <f t="shared" si="4"/>
        <v>#N/A</v>
      </c>
      <c r="S297" s="52"/>
    </row>
    <row r="298" spans="1:19" x14ac:dyDescent="0.2">
      <c r="A298" s="50">
        <v>289.909407665505</v>
      </c>
      <c r="B298" s="41"/>
      <c r="C298" s="41"/>
      <c r="D298" s="41"/>
      <c r="E298" s="41"/>
      <c r="F298" s="41"/>
      <c r="G298" s="43"/>
      <c r="H298" s="56"/>
      <c r="I298" s="45"/>
      <c r="J298" s="46"/>
      <c r="K298" s="47"/>
      <c r="L298" s="48"/>
      <c r="M298" s="49">
        <v>0</v>
      </c>
      <c r="N298" s="47"/>
      <c r="O298" s="48"/>
      <c r="P298" s="49">
        <v>0</v>
      </c>
      <c r="Q298" s="50"/>
      <c r="R298" s="51" t="e">
        <f t="shared" si="4"/>
        <v>#N/A</v>
      </c>
      <c r="S298" s="52"/>
    </row>
    <row r="299" spans="1:19" x14ac:dyDescent="0.2">
      <c r="A299" s="50">
        <v>290.92421602787402</v>
      </c>
      <c r="B299" s="41"/>
      <c r="C299" s="41"/>
      <c r="D299" s="41"/>
      <c r="E299" s="41"/>
      <c r="F299" s="41"/>
      <c r="G299" s="43"/>
      <c r="H299" s="56"/>
      <c r="I299" s="45"/>
      <c r="J299" s="46"/>
      <c r="K299" s="47"/>
      <c r="L299" s="48"/>
      <c r="M299" s="49">
        <v>0</v>
      </c>
      <c r="N299" s="47"/>
      <c r="O299" s="48"/>
      <c r="P299" s="49">
        <v>0</v>
      </c>
      <c r="Q299" s="50"/>
      <c r="R299" s="51" t="e">
        <f t="shared" si="4"/>
        <v>#N/A</v>
      </c>
      <c r="S299" s="52"/>
    </row>
    <row r="300" spans="1:19" x14ac:dyDescent="0.2">
      <c r="A300" s="50">
        <v>291.93902439024401</v>
      </c>
      <c r="B300" s="41"/>
      <c r="C300" s="41"/>
      <c r="D300" s="41"/>
      <c r="E300" s="41"/>
      <c r="F300" s="41"/>
      <c r="G300" s="43"/>
      <c r="H300" s="56"/>
      <c r="I300" s="45"/>
      <c r="J300" s="46"/>
      <c r="K300" s="47"/>
      <c r="L300" s="48"/>
      <c r="M300" s="49">
        <v>0</v>
      </c>
      <c r="N300" s="47"/>
      <c r="O300" s="48"/>
      <c r="P300" s="49">
        <v>0</v>
      </c>
      <c r="Q300" s="50"/>
      <c r="R300" s="51" t="e">
        <f t="shared" si="4"/>
        <v>#N/A</v>
      </c>
      <c r="S300" s="52"/>
    </row>
    <row r="301" spans="1:19" x14ac:dyDescent="0.2">
      <c r="A301" s="50">
        <v>292.95383275261298</v>
      </c>
      <c r="B301" s="41"/>
      <c r="C301" s="41"/>
      <c r="D301" s="41"/>
      <c r="E301" s="41"/>
      <c r="F301" s="41"/>
      <c r="G301" s="43"/>
      <c r="H301" s="56"/>
      <c r="I301" s="45"/>
      <c r="J301" s="46"/>
      <c r="K301" s="47"/>
      <c r="L301" s="48"/>
      <c r="M301" s="49">
        <v>0</v>
      </c>
      <c r="N301" s="47"/>
      <c r="O301" s="48"/>
      <c r="P301" s="49">
        <v>0</v>
      </c>
      <c r="Q301" s="50"/>
      <c r="R301" s="51" t="e">
        <f t="shared" si="4"/>
        <v>#N/A</v>
      </c>
      <c r="S301" s="52"/>
    </row>
    <row r="302" spans="1:19" x14ac:dyDescent="0.2">
      <c r="A302" s="50">
        <v>293.96864111498201</v>
      </c>
      <c r="B302" s="41"/>
      <c r="C302" s="41"/>
      <c r="D302" s="41"/>
      <c r="E302" s="41"/>
      <c r="F302" s="41"/>
      <c r="G302" s="43"/>
      <c r="H302" s="56"/>
      <c r="I302" s="45"/>
      <c r="J302" s="46"/>
      <c r="K302" s="47"/>
      <c r="L302" s="48"/>
      <c r="M302" s="49">
        <v>0</v>
      </c>
      <c r="N302" s="47"/>
      <c r="O302" s="48"/>
      <c r="P302" s="49">
        <v>0</v>
      </c>
      <c r="Q302" s="50"/>
      <c r="R302" s="51" t="e">
        <f t="shared" si="4"/>
        <v>#N/A</v>
      </c>
      <c r="S302" s="52"/>
    </row>
    <row r="303" spans="1:19" x14ac:dyDescent="0.2">
      <c r="A303" s="50">
        <v>294.983449477352</v>
      </c>
      <c r="B303" s="41"/>
      <c r="C303" s="41"/>
      <c r="D303" s="41"/>
      <c r="E303" s="41"/>
      <c r="F303" s="41"/>
      <c r="G303" s="43"/>
      <c r="H303" s="56"/>
      <c r="I303" s="45"/>
      <c r="J303" s="46"/>
      <c r="K303" s="47"/>
      <c r="L303" s="48"/>
      <c r="M303" s="49">
        <v>0</v>
      </c>
      <c r="N303" s="47"/>
      <c r="O303" s="48"/>
      <c r="P303" s="49">
        <v>0</v>
      </c>
      <c r="Q303" s="50"/>
      <c r="R303" s="51" t="e">
        <f t="shared" si="4"/>
        <v>#N/A</v>
      </c>
      <c r="S303" s="52"/>
    </row>
    <row r="304" spans="1:19" x14ac:dyDescent="0.2">
      <c r="A304" s="50">
        <v>295.99825783972102</v>
      </c>
      <c r="B304" s="41"/>
      <c r="C304" s="41"/>
      <c r="D304" s="41"/>
      <c r="E304" s="41"/>
      <c r="F304" s="41"/>
      <c r="G304" s="43"/>
      <c r="H304" s="56"/>
      <c r="I304" s="45"/>
      <c r="J304" s="46"/>
      <c r="K304" s="47"/>
      <c r="L304" s="48"/>
      <c r="M304" s="49">
        <v>0</v>
      </c>
      <c r="N304" s="47"/>
      <c r="O304" s="48"/>
      <c r="P304" s="49">
        <v>0</v>
      </c>
      <c r="Q304" s="50"/>
      <c r="R304" s="51" t="e">
        <f t="shared" si="4"/>
        <v>#N/A</v>
      </c>
      <c r="S304" s="52"/>
    </row>
    <row r="305" spans="1:19" x14ac:dyDescent="0.2">
      <c r="A305" s="50">
        <v>297.01306620208999</v>
      </c>
      <c r="B305" s="41"/>
      <c r="C305" s="41"/>
      <c r="D305" s="41"/>
      <c r="E305" s="41"/>
      <c r="F305" s="41"/>
      <c r="G305" s="43"/>
      <c r="H305" s="56"/>
      <c r="I305" s="45"/>
      <c r="J305" s="46"/>
      <c r="K305" s="47"/>
      <c r="L305" s="48"/>
      <c r="M305" s="49">
        <v>0</v>
      </c>
      <c r="N305" s="47"/>
      <c r="O305" s="48"/>
      <c r="P305" s="49">
        <v>0</v>
      </c>
      <c r="Q305" s="50"/>
      <c r="R305" s="51" t="e">
        <f t="shared" si="4"/>
        <v>#N/A</v>
      </c>
      <c r="S305" s="52"/>
    </row>
    <row r="306" spans="1:19" x14ac:dyDescent="0.2">
      <c r="A306" s="50">
        <v>298.02787456445998</v>
      </c>
      <c r="B306" s="41"/>
      <c r="C306" s="41"/>
      <c r="D306" s="41"/>
      <c r="E306" s="41"/>
      <c r="F306" s="41"/>
      <c r="G306" s="43"/>
      <c r="H306" s="56"/>
      <c r="I306" s="45"/>
      <c r="J306" s="46"/>
      <c r="K306" s="47"/>
      <c r="L306" s="48"/>
      <c r="M306" s="49">
        <v>0</v>
      </c>
      <c r="N306" s="47"/>
      <c r="O306" s="48"/>
      <c r="P306" s="49">
        <v>0</v>
      </c>
      <c r="Q306" s="50"/>
      <c r="R306" s="51" t="e">
        <f t="shared" si="4"/>
        <v>#N/A</v>
      </c>
      <c r="S306" s="52"/>
    </row>
    <row r="307" spans="1:19" x14ac:dyDescent="0.2">
      <c r="A307" s="50">
        <v>299.042682926829</v>
      </c>
      <c r="B307" s="41"/>
      <c r="C307" s="41"/>
      <c r="D307" s="41"/>
      <c r="E307" s="41"/>
      <c r="F307" s="41"/>
      <c r="G307" s="43"/>
      <c r="H307" s="56"/>
      <c r="I307" s="45"/>
      <c r="J307" s="46"/>
      <c r="K307" s="47"/>
      <c r="L307" s="48"/>
      <c r="M307" s="49">
        <v>0</v>
      </c>
      <c r="N307" s="47"/>
      <c r="O307" s="48"/>
      <c r="P307" s="49">
        <v>0</v>
      </c>
      <c r="Q307" s="50"/>
      <c r="R307" s="51" t="e">
        <f t="shared" si="4"/>
        <v>#N/A</v>
      </c>
      <c r="S307" s="52"/>
    </row>
    <row r="308" spans="1:19" x14ac:dyDescent="0.2">
      <c r="A308" s="50">
        <v>300.05749128919803</v>
      </c>
      <c r="B308" s="41"/>
      <c r="C308" s="41"/>
      <c r="D308" s="41"/>
      <c r="E308" s="41"/>
      <c r="F308" s="41"/>
      <c r="G308" s="43"/>
      <c r="H308" s="56"/>
      <c r="I308" s="45"/>
      <c r="J308" s="46"/>
      <c r="K308" s="47"/>
      <c r="L308" s="48"/>
      <c r="M308" s="49">
        <v>0</v>
      </c>
      <c r="N308" s="47"/>
      <c r="O308" s="48"/>
      <c r="P308" s="49">
        <v>0</v>
      </c>
      <c r="Q308" s="50"/>
      <c r="R308" s="51" t="e">
        <f t="shared" si="4"/>
        <v>#N/A</v>
      </c>
      <c r="S308" s="52"/>
    </row>
    <row r="309" spans="1:19" x14ac:dyDescent="0.2">
      <c r="A309" s="50">
        <v>301.07229965156802</v>
      </c>
      <c r="B309" s="41"/>
      <c r="C309" s="41"/>
      <c r="D309" s="41"/>
      <c r="E309" s="41"/>
      <c r="F309" s="41"/>
      <c r="G309" s="43"/>
      <c r="H309" s="56"/>
      <c r="I309" s="45"/>
      <c r="J309" s="46"/>
      <c r="K309" s="47"/>
      <c r="L309" s="48"/>
      <c r="M309" s="49">
        <v>0</v>
      </c>
      <c r="N309" s="47"/>
      <c r="O309" s="48"/>
      <c r="P309" s="49">
        <v>0</v>
      </c>
      <c r="Q309" s="50"/>
      <c r="R309" s="51" t="e">
        <f t="shared" si="4"/>
        <v>#N/A</v>
      </c>
      <c r="S309" s="52"/>
    </row>
    <row r="310" spans="1:19" x14ac:dyDescent="0.2">
      <c r="A310" s="50">
        <v>302.08710801393698</v>
      </c>
      <c r="B310" s="41"/>
      <c r="C310" s="41"/>
      <c r="D310" s="41"/>
      <c r="E310" s="41"/>
      <c r="F310" s="41"/>
      <c r="G310" s="43"/>
      <c r="H310" s="56"/>
      <c r="I310" s="45"/>
      <c r="J310" s="46"/>
      <c r="K310" s="47"/>
      <c r="L310" s="48"/>
      <c r="M310" s="49">
        <v>0</v>
      </c>
      <c r="N310" s="47"/>
      <c r="O310" s="48"/>
      <c r="P310" s="49">
        <v>0</v>
      </c>
      <c r="Q310" s="50"/>
      <c r="R310" s="51" t="e">
        <f t="shared" si="4"/>
        <v>#N/A</v>
      </c>
      <c r="S310" s="52"/>
    </row>
    <row r="311" spans="1:19" x14ac:dyDescent="0.2">
      <c r="A311" s="50">
        <v>303.10191637630601</v>
      </c>
      <c r="B311" s="41"/>
      <c r="C311" s="41"/>
      <c r="D311" s="41"/>
      <c r="E311" s="41"/>
      <c r="F311" s="41"/>
      <c r="G311" s="43"/>
      <c r="H311" s="56"/>
      <c r="I311" s="45"/>
      <c r="J311" s="46"/>
      <c r="K311" s="47"/>
      <c r="L311" s="48"/>
      <c r="M311" s="49">
        <v>0</v>
      </c>
      <c r="N311" s="47"/>
      <c r="O311" s="48"/>
      <c r="P311" s="49">
        <v>0</v>
      </c>
      <c r="Q311" s="50"/>
      <c r="R311" s="51" t="e">
        <f t="shared" si="4"/>
        <v>#N/A</v>
      </c>
      <c r="S311" s="52"/>
    </row>
    <row r="312" spans="1:19" x14ac:dyDescent="0.2">
      <c r="A312" s="50">
        <v>304.116724738676</v>
      </c>
      <c r="B312" s="41"/>
      <c r="C312" s="41"/>
      <c r="D312" s="41"/>
      <c r="E312" s="41"/>
      <c r="F312" s="41"/>
      <c r="G312" s="43"/>
      <c r="H312" s="56"/>
      <c r="I312" s="45"/>
      <c r="J312" s="46"/>
      <c r="K312" s="47"/>
      <c r="L312" s="48"/>
      <c r="M312" s="49">
        <v>0</v>
      </c>
      <c r="N312" s="47"/>
      <c r="O312" s="48"/>
      <c r="P312" s="49">
        <v>0</v>
      </c>
      <c r="Q312" s="50"/>
      <c r="R312" s="51" t="e">
        <f t="shared" si="4"/>
        <v>#N/A</v>
      </c>
      <c r="S312" s="52"/>
    </row>
    <row r="313" spans="1:19" x14ac:dyDescent="0.2">
      <c r="A313" s="50">
        <v>305.13153310104502</v>
      </c>
      <c r="B313" s="41"/>
      <c r="C313" s="41"/>
      <c r="D313" s="41"/>
      <c r="E313" s="41"/>
      <c r="F313" s="41"/>
      <c r="G313" s="43"/>
      <c r="H313" s="56"/>
      <c r="I313" s="45"/>
      <c r="J313" s="46"/>
      <c r="K313" s="47"/>
      <c r="L313" s="48"/>
      <c r="M313" s="49">
        <v>0</v>
      </c>
      <c r="N313" s="47"/>
      <c r="O313" s="48"/>
      <c r="P313" s="49">
        <v>0</v>
      </c>
      <c r="Q313" s="50"/>
      <c r="R313" s="51" t="e">
        <f t="shared" si="4"/>
        <v>#N/A</v>
      </c>
      <c r="S313" s="52"/>
    </row>
    <row r="314" spans="1:19" x14ac:dyDescent="0.2">
      <c r="A314" s="50">
        <v>306.14634146341399</v>
      </c>
      <c r="B314" s="41"/>
      <c r="C314" s="41"/>
      <c r="D314" s="41"/>
      <c r="E314" s="41"/>
      <c r="F314" s="41"/>
      <c r="G314" s="43"/>
      <c r="H314" s="56"/>
      <c r="I314" s="45"/>
      <c r="J314" s="46"/>
      <c r="K314" s="47"/>
      <c r="L314" s="48"/>
      <c r="M314" s="49">
        <v>0</v>
      </c>
      <c r="N314" s="47"/>
      <c r="O314" s="48"/>
      <c r="P314" s="49">
        <v>0</v>
      </c>
      <c r="Q314" s="50"/>
      <c r="R314" s="51" t="e">
        <f t="shared" si="4"/>
        <v>#N/A</v>
      </c>
      <c r="S314" s="52"/>
    </row>
    <row r="315" spans="1:19" x14ac:dyDescent="0.2">
      <c r="A315" s="50">
        <v>307.16114982578398</v>
      </c>
      <c r="B315" s="41"/>
      <c r="C315" s="41"/>
      <c r="D315" s="41"/>
      <c r="E315" s="41"/>
      <c r="F315" s="41"/>
      <c r="G315" s="43"/>
      <c r="H315" s="56"/>
      <c r="I315" s="45"/>
      <c r="J315" s="46"/>
      <c r="K315" s="47"/>
      <c r="L315" s="48"/>
      <c r="M315" s="49">
        <v>0</v>
      </c>
      <c r="N315" s="47"/>
      <c r="O315" s="48"/>
      <c r="P315" s="49">
        <v>0</v>
      </c>
      <c r="Q315" s="50"/>
      <c r="R315" s="51" t="e">
        <f t="shared" si="4"/>
        <v>#N/A</v>
      </c>
      <c r="S315" s="52"/>
    </row>
    <row r="316" spans="1:19" x14ac:dyDescent="0.2">
      <c r="A316" s="50">
        <v>308.175958188153</v>
      </c>
      <c r="B316" s="41"/>
      <c r="C316" s="41"/>
      <c r="D316" s="41"/>
      <c r="E316" s="41"/>
      <c r="F316" s="41"/>
      <c r="G316" s="43"/>
      <c r="H316" s="56"/>
      <c r="I316" s="45"/>
      <c r="J316" s="46"/>
      <c r="K316" s="47"/>
      <c r="L316" s="48"/>
      <c r="M316" s="49">
        <v>0</v>
      </c>
      <c r="N316" s="47"/>
      <c r="O316" s="48"/>
      <c r="P316" s="49">
        <v>0</v>
      </c>
      <c r="Q316" s="50"/>
      <c r="R316" s="51" t="e">
        <f t="shared" si="4"/>
        <v>#N/A</v>
      </c>
      <c r="S316" s="52"/>
    </row>
    <row r="317" spans="1:19" x14ac:dyDescent="0.2">
      <c r="A317" s="50">
        <v>309.19076655052299</v>
      </c>
      <c r="B317" s="41"/>
      <c r="C317" s="41"/>
      <c r="D317" s="41"/>
      <c r="E317" s="41"/>
      <c r="F317" s="41"/>
      <c r="G317" s="43"/>
      <c r="H317" s="56"/>
      <c r="I317" s="45"/>
      <c r="J317" s="46"/>
      <c r="K317" s="47"/>
      <c r="L317" s="48"/>
      <c r="M317" s="49">
        <v>0</v>
      </c>
      <c r="N317" s="47"/>
      <c r="O317" s="48"/>
      <c r="P317" s="49">
        <v>0</v>
      </c>
      <c r="Q317" s="50"/>
      <c r="R317" s="51" t="e">
        <f t="shared" si="4"/>
        <v>#N/A</v>
      </c>
      <c r="S317" s="52"/>
    </row>
    <row r="318" spans="1:19" x14ac:dyDescent="0.2">
      <c r="A318" s="50">
        <v>310.20557491289202</v>
      </c>
      <c r="B318" s="41"/>
      <c r="C318" s="41"/>
      <c r="D318" s="41"/>
      <c r="E318" s="41"/>
      <c r="F318" s="41"/>
      <c r="G318" s="43"/>
      <c r="H318" s="56"/>
      <c r="I318" s="45"/>
      <c r="J318" s="46"/>
      <c r="K318" s="47"/>
      <c r="L318" s="48"/>
      <c r="M318" s="49">
        <v>0</v>
      </c>
      <c r="N318" s="47"/>
      <c r="O318" s="48"/>
      <c r="P318" s="49">
        <v>0</v>
      </c>
      <c r="Q318" s="50"/>
      <c r="R318" s="51" t="e">
        <f t="shared" si="4"/>
        <v>#N/A</v>
      </c>
      <c r="S318" s="52"/>
    </row>
    <row r="319" spans="1:19" x14ac:dyDescent="0.2">
      <c r="A319" s="50">
        <v>311.22038327526099</v>
      </c>
      <c r="B319" s="41"/>
      <c r="C319" s="41"/>
      <c r="D319" s="41"/>
      <c r="E319" s="41"/>
      <c r="F319" s="41"/>
      <c r="G319" s="43"/>
      <c r="H319" s="56"/>
      <c r="I319" s="45"/>
      <c r="J319" s="46"/>
      <c r="K319" s="47"/>
      <c r="L319" s="48"/>
      <c r="M319" s="49">
        <v>0</v>
      </c>
      <c r="N319" s="47"/>
      <c r="O319" s="48"/>
      <c r="P319" s="49">
        <v>0</v>
      </c>
      <c r="Q319" s="50"/>
      <c r="R319" s="51" t="e">
        <f t="shared" si="4"/>
        <v>#N/A</v>
      </c>
      <c r="S319" s="52"/>
    </row>
    <row r="320" spans="1:19" x14ac:dyDescent="0.2">
      <c r="A320" s="50">
        <v>312.23519163763001</v>
      </c>
      <c r="B320" s="41"/>
      <c r="C320" s="41"/>
      <c r="D320" s="41"/>
      <c r="E320" s="41"/>
      <c r="F320" s="41"/>
      <c r="G320" s="43"/>
      <c r="H320" s="56"/>
      <c r="I320" s="45"/>
      <c r="J320" s="46"/>
      <c r="K320" s="47"/>
      <c r="L320" s="48"/>
      <c r="M320" s="49">
        <v>0</v>
      </c>
      <c r="N320" s="47"/>
      <c r="O320" s="48"/>
      <c r="P320" s="49">
        <v>0</v>
      </c>
      <c r="Q320" s="50"/>
      <c r="R320" s="51" t="e">
        <f t="shared" si="4"/>
        <v>#N/A</v>
      </c>
      <c r="S320" s="52"/>
    </row>
    <row r="321" spans="1:19" x14ac:dyDescent="0.2">
      <c r="A321" s="50">
        <v>313.25</v>
      </c>
      <c r="B321" s="41"/>
      <c r="C321" s="41"/>
      <c r="D321" s="41"/>
      <c r="E321" s="41"/>
      <c r="F321" s="41"/>
      <c r="G321" s="43"/>
      <c r="H321" s="56"/>
      <c r="I321" s="45"/>
      <c r="J321" s="46"/>
      <c r="K321" s="47"/>
      <c r="L321" s="48"/>
      <c r="M321" s="49">
        <v>0</v>
      </c>
      <c r="N321" s="47"/>
      <c r="O321" s="48"/>
      <c r="P321" s="49">
        <v>0</v>
      </c>
      <c r="Q321" s="50"/>
      <c r="R321" s="51" t="e">
        <f t="shared" si="4"/>
        <v>#N/A</v>
      </c>
      <c r="S321" s="52"/>
    </row>
    <row r="322" spans="1:19" x14ac:dyDescent="0.2">
      <c r="A322" s="50">
        <v>314.26480836236902</v>
      </c>
      <c r="B322" s="41"/>
      <c r="C322" s="41"/>
      <c r="D322" s="41"/>
      <c r="E322" s="41"/>
      <c r="F322" s="41"/>
      <c r="G322" s="43"/>
      <c r="H322" s="56"/>
      <c r="I322" s="45"/>
      <c r="J322" s="46"/>
      <c r="K322" s="47"/>
      <c r="L322" s="48"/>
      <c r="M322" s="49">
        <v>0</v>
      </c>
      <c r="N322" s="47"/>
      <c r="O322" s="48"/>
      <c r="P322" s="49">
        <v>0</v>
      </c>
      <c r="Q322" s="50"/>
      <c r="R322" s="51" t="e">
        <f t="shared" si="4"/>
        <v>#N/A</v>
      </c>
      <c r="S322" s="52"/>
    </row>
    <row r="323" spans="1:19" x14ac:dyDescent="0.2">
      <c r="A323" s="50">
        <v>315.27961672473901</v>
      </c>
      <c r="B323" s="41"/>
      <c r="C323" s="41"/>
      <c r="D323" s="41"/>
      <c r="E323" s="41"/>
      <c r="F323" s="41"/>
      <c r="G323" s="43"/>
      <c r="H323" s="56"/>
      <c r="I323" s="45"/>
      <c r="J323" s="46"/>
      <c r="K323" s="47"/>
      <c r="L323" s="48"/>
      <c r="M323" s="49">
        <v>0</v>
      </c>
      <c r="N323" s="47"/>
      <c r="O323" s="48"/>
      <c r="P323" s="49">
        <v>0</v>
      </c>
      <c r="Q323" s="50"/>
      <c r="R323" s="51" t="e">
        <f t="shared" si="4"/>
        <v>#N/A</v>
      </c>
      <c r="S323" s="52"/>
    </row>
    <row r="324" spans="1:19" x14ac:dyDescent="0.2">
      <c r="A324" s="50">
        <v>316.29442508710798</v>
      </c>
      <c r="B324" s="41"/>
      <c r="C324" s="41"/>
      <c r="D324" s="41"/>
      <c r="E324" s="41"/>
      <c r="F324" s="41"/>
      <c r="G324" s="43"/>
      <c r="H324" s="56"/>
      <c r="I324" s="45"/>
      <c r="J324" s="46"/>
      <c r="K324" s="47"/>
      <c r="L324" s="48"/>
      <c r="M324" s="49">
        <v>0</v>
      </c>
      <c r="N324" s="47"/>
      <c r="O324" s="48"/>
      <c r="P324" s="49">
        <v>0</v>
      </c>
      <c r="Q324" s="50"/>
      <c r="R324" s="51" t="e">
        <f t="shared" si="4"/>
        <v>#N/A</v>
      </c>
      <c r="S324" s="52"/>
    </row>
    <row r="325" spans="1:19" x14ac:dyDescent="0.2">
      <c r="A325" s="50">
        <v>317.30923344947701</v>
      </c>
      <c r="B325" s="41"/>
      <c r="C325" s="41"/>
      <c r="D325" s="41"/>
      <c r="E325" s="41"/>
      <c r="F325" s="41"/>
      <c r="G325" s="43"/>
      <c r="H325" s="56"/>
      <c r="I325" s="45"/>
      <c r="J325" s="46"/>
      <c r="K325" s="47"/>
      <c r="L325" s="48"/>
      <c r="M325" s="49">
        <v>0</v>
      </c>
      <c r="N325" s="47"/>
      <c r="O325" s="48"/>
      <c r="P325" s="49">
        <v>0</v>
      </c>
      <c r="Q325" s="50"/>
      <c r="R325" s="51" t="e">
        <f t="shared" si="4"/>
        <v>#N/A</v>
      </c>
      <c r="S325" s="52"/>
    </row>
    <row r="326" spans="1:19" x14ac:dyDescent="0.2">
      <c r="A326" s="50">
        <v>318.324041811847</v>
      </c>
      <c r="B326" s="41"/>
      <c r="C326" s="41"/>
      <c r="D326" s="41"/>
      <c r="E326" s="41"/>
      <c r="F326" s="41"/>
      <c r="G326" s="43"/>
      <c r="H326" s="56"/>
      <c r="I326" s="45"/>
      <c r="J326" s="46"/>
      <c r="K326" s="47"/>
      <c r="L326" s="48"/>
      <c r="M326" s="49">
        <v>0</v>
      </c>
      <c r="N326" s="47"/>
      <c r="O326" s="48"/>
      <c r="P326" s="49">
        <v>0</v>
      </c>
      <c r="Q326" s="50"/>
      <c r="R326" s="51" t="e">
        <f t="shared" si="4"/>
        <v>#N/A</v>
      </c>
      <c r="S326" s="52"/>
    </row>
    <row r="327" spans="1:19" x14ac:dyDescent="0.2">
      <c r="A327" s="50">
        <v>319.33885017421602</v>
      </c>
      <c r="B327" s="41"/>
      <c r="C327" s="41"/>
      <c r="D327" s="41"/>
      <c r="E327" s="41"/>
      <c r="F327" s="41"/>
      <c r="G327" s="43"/>
      <c r="H327" s="56"/>
      <c r="I327" s="45"/>
      <c r="J327" s="46"/>
      <c r="K327" s="47"/>
      <c r="L327" s="48"/>
      <c r="M327" s="49">
        <v>0</v>
      </c>
      <c r="N327" s="47"/>
      <c r="O327" s="48"/>
      <c r="P327" s="49">
        <v>0</v>
      </c>
      <c r="Q327" s="50"/>
      <c r="R327" s="51" t="e">
        <f t="shared" si="4"/>
        <v>#N/A</v>
      </c>
      <c r="S327" s="52"/>
    </row>
    <row r="328" spans="1:19" x14ac:dyDescent="0.2">
      <c r="A328" s="50">
        <v>320.35365853658499</v>
      </c>
      <c r="B328" s="41"/>
      <c r="C328" s="41"/>
      <c r="D328" s="41"/>
      <c r="E328" s="41"/>
      <c r="F328" s="41"/>
      <c r="G328" s="43"/>
      <c r="H328" s="56"/>
      <c r="I328" s="45"/>
      <c r="J328" s="46"/>
      <c r="K328" s="47"/>
      <c r="L328" s="48"/>
      <c r="M328" s="49">
        <v>0</v>
      </c>
      <c r="N328" s="47"/>
      <c r="O328" s="48"/>
      <c r="P328" s="49">
        <v>0</v>
      </c>
      <c r="Q328" s="50"/>
      <c r="R328" s="51" t="e">
        <f t="shared" si="4"/>
        <v>#N/A</v>
      </c>
      <c r="S328" s="52"/>
    </row>
    <row r="329" spans="1:19" x14ac:dyDescent="0.2">
      <c r="A329" s="50">
        <v>321.36846689895498</v>
      </c>
      <c r="B329" s="41"/>
      <c r="C329" s="41"/>
      <c r="D329" s="41"/>
      <c r="E329" s="41"/>
      <c r="F329" s="41"/>
      <c r="G329" s="43"/>
      <c r="H329" s="56"/>
      <c r="I329" s="45"/>
      <c r="J329" s="46"/>
      <c r="K329" s="47"/>
      <c r="L329" s="48"/>
      <c r="M329" s="49">
        <v>0</v>
      </c>
      <c r="N329" s="47"/>
      <c r="O329" s="48"/>
      <c r="P329" s="49">
        <v>0</v>
      </c>
      <c r="Q329" s="50"/>
      <c r="R329" s="51" t="e">
        <f t="shared" si="4"/>
        <v>#N/A</v>
      </c>
      <c r="S329" s="52"/>
    </row>
    <row r="330" spans="1:19" x14ac:dyDescent="0.2">
      <c r="A330" s="50">
        <v>322.383275261324</v>
      </c>
      <c r="B330" s="41"/>
      <c r="C330" s="41"/>
      <c r="D330" s="41"/>
      <c r="E330" s="41"/>
      <c r="F330" s="41"/>
      <c r="G330" s="43"/>
      <c r="H330" s="56"/>
      <c r="I330" s="45"/>
      <c r="J330" s="46"/>
      <c r="K330" s="47"/>
      <c r="L330" s="48"/>
      <c r="M330" s="49">
        <v>0</v>
      </c>
      <c r="N330" s="47"/>
      <c r="O330" s="48"/>
      <c r="P330" s="49">
        <v>0</v>
      </c>
      <c r="Q330" s="50"/>
      <c r="R330" s="51" t="e">
        <f t="shared" si="4"/>
        <v>#N/A</v>
      </c>
      <c r="S330" s="52"/>
    </row>
    <row r="331" spans="1:19" x14ac:dyDescent="0.2">
      <c r="A331" s="50">
        <v>323.39808362369303</v>
      </c>
      <c r="B331" s="41"/>
      <c r="C331" s="41"/>
      <c r="D331" s="41"/>
      <c r="E331" s="41"/>
      <c r="F331" s="41"/>
      <c r="G331" s="43"/>
      <c r="H331" s="56"/>
      <c r="I331" s="45"/>
      <c r="J331" s="46"/>
      <c r="K331" s="47"/>
      <c r="L331" s="48"/>
      <c r="M331" s="49">
        <v>0</v>
      </c>
      <c r="N331" s="47"/>
      <c r="O331" s="48"/>
      <c r="P331" s="49">
        <v>0</v>
      </c>
      <c r="Q331" s="50"/>
      <c r="R331" s="51" t="e">
        <f t="shared" si="4"/>
        <v>#N/A</v>
      </c>
      <c r="S331" s="52"/>
    </row>
    <row r="332" spans="1:19" x14ac:dyDescent="0.2">
      <c r="A332" s="50">
        <v>324.41289198606302</v>
      </c>
      <c r="B332" s="41"/>
      <c r="C332" s="41"/>
      <c r="D332" s="41"/>
      <c r="E332" s="41"/>
      <c r="F332" s="41"/>
      <c r="G332" s="43"/>
      <c r="H332" s="56"/>
      <c r="I332" s="45"/>
      <c r="J332" s="46"/>
      <c r="K332" s="47"/>
      <c r="L332" s="48"/>
      <c r="M332" s="49">
        <v>0</v>
      </c>
      <c r="N332" s="47"/>
      <c r="O332" s="48"/>
      <c r="P332" s="49">
        <v>0</v>
      </c>
      <c r="Q332" s="50"/>
      <c r="R332" s="51" t="e">
        <f t="shared" si="4"/>
        <v>#N/A</v>
      </c>
      <c r="S332" s="52"/>
    </row>
    <row r="333" spans="1:19" x14ac:dyDescent="0.2">
      <c r="A333" s="50">
        <v>325.42770034843198</v>
      </c>
      <c r="B333" s="41"/>
      <c r="C333" s="41"/>
      <c r="D333" s="41"/>
      <c r="E333" s="41"/>
      <c r="F333" s="41"/>
      <c r="G333" s="43"/>
      <c r="H333" s="56"/>
      <c r="I333" s="45"/>
      <c r="J333" s="46"/>
      <c r="K333" s="47"/>
      <c r="L333" s="48"/>
      <c r="M333" s="49">
        <v>0</v>
      </c>
      <c r="N333" s="47"/>
      <c r="O333" s="48"/>
      <c r="P333" s="49">
        <v>0</v>
      </c>
      <c r="Q333" s="50"/>
      <c r="R333" s="51" t="e">
        <f t="shared" si="4"/>
        <v>#N/A</v>
      </c>
      <c r="S333" s="52"/>
    </row>
    <row r="334" spans="1:19" x14ac:dyDescent="0.2">
      <c r="A334" s="50">
        <v>326.44250871080101</v>
      </c>
      <c r="B334" s="41"/>
      <c r="C334" s="41"/>
      <c r="D334" s="41"/>
      <c r="E334" s="41"/>
      <c r="F334" s="41"/>
      <c r="G334" s="43"/>
      <c r="H334" s="56"/>
      <c r="I334" s="45"/>
      <c r="J334" s="46"/>
      <c r="K334" s="47"/>
      <c r="L334" s="48"/>
      <c r="M334" s="49">
        <v>0</v>
      </c>
      <c r="N334" s="47"/>
      <c r="O334" s="48"/>
      <c r="P334" s="49">
        <v>0</v>
      </c>
      <c r="Q334" s="50"/>
      <c r="R334" s="51" t="e">
        <f t="shared" si="4"/>
        <v>#N/A</v>
      </c>
      <c r="S334" s="52"/>
    </row>
    <row r="335" spans="1:19" x14ac:dyDescent="0.2">
      <c r="A335" s="50">
        <v>327.457317073171</v>
      </c>
      <c r="B335" s="41"/>
      <c r="C335" s="41"/>
      <c r="D335" s="41"/>
      <c r="E335" s="41"/>
      <c r="F335" s="41"/>
      <c r="G335" s="43"/>
      <c r="H335" s="56"/>
      <c r="I335" s="45"/>
      <c r="J335" s="46"/>
      <c r="K335" s="47"/>
      <c r="L335" s="48"/>
      <c r="M335" s="49">
        <v>0</v>
      </c>
      <c r="N335" s="47"/>
      <c r="O335" s="48"/>
      <c r="P335" s="49">
        <v>0</v>
      </c>
      <c r="Q335" s="50"/>
      <c r="R335" s="51" t="e">
        <f t="shared" si="4"/>
        <v>#N/A</v>
      </c>
      <c r="S335" s="52"/>
    </row>
    <row r="336" spans="1:19" x14ac:dyDescent="0.2">
      <c r="A336" s="50">
        <v>328.47212543554002</v>
      </c>
      <c r="B336" s="41"/>
      <c r="C336" s="41"/>
      <c r="D336" s="41"/>
      <c r="E336" s="41"/>
      <c r="F336" s="41"/>
      <c r="G336" s="43"/>
      <c r="H336" s="56"/>
      <c r="I336" s="45"/>
      <c r="J336" s="46"/>
      <c r="K336" s="47"/>
      <c r="L336" s="48"/>
      <c r="M336" s="49">
        <v>0</v>
      </c>
      <c r="N336" s="47"/>
      <c r="O336" s="48"/>
      <c r="P336" s="49">
        <v>0</v>
      </c>
      <c r="Q336" s="50"/>
      <c r="R336" s="51" t="e">
        <f t="shared" si="4"/>
        <v>#N/A</v>
      </c>
      <c r="S336" s="52"/>
    </row>
    <row r="337" spans="1:19" x14ac:dyDescent="0.2">
      <c r="A337" s="50">
        <v>329.48693379790899</v>
      </c>
      <c r="B337" s="41"/>
      <c r="C337" s="41"/>
      <c r="D337" s="41"/>
      <c r="E337" s="41"/>
      <c r="F337" s="41"/>
      <c r="G337" s="43"/>
      <c r="H337" s="56"/>
      <c r="I337" s="45"/>
      <c r="J337" s="46"/>
      <c r="K337" s="47"/>
      <c r="L337" s="48"/>
      <c r="M337" s="49">
        <v>0</v>
      </c>
      <c r="N337" s="47"/>
      <c r="O337" s="48"/>
      <c r="P337" s="49">
        <v>0</v>
      </c>
      <c r="Q337" s="50"/>
      <c r="R337" s="51" t="e">
        <f t="shared" si="4"/>
        <v>#N/A</v>
      </c>
      <c r="S337" s="52"/>
    </row>
    <row r="338" spans="1:19" x14ac:dyDescent="0.2">
      <c r="A338" s="50">
        <v>330.50174216027898</v>
      </c>
      <c r="B338" s="41"/>
      <c r="C338" s="41"/>
      <c r="D338" s="41"/>
      <c r="E338" s="41"/>
      <c r="F338" s="41"/>
      <c r="G338" s="43"/>
      <c r="H338" s="56"/>
      <c r="I338" s="45"/>
      <c r="J338" s="46"/>
      <c r="K338" s="47"/>
      <c r="L338" s="48"/>
      <c r="M338" s="49">
        <v>0</v>
      </c>
      <c r="N338" s="47"/>
      <c r="O338" s="48"/>
      <c r="P338" s="49">
        <v>0</v>
      </c>
      <c r="Q338" s="50"/>
      <c r="R338" s="51" t="e">
        <f t="shared" si="4"/>
        <v>#N/A</v>
      </c>
      <c r="S338" s="52"/>
    </row>
    <row r="339" spans="1:19" x14ac:dyDescent="0.2">
      <c r="A339" s="50">
        <v>331.516550522648</v>
      </c>
      <c r="B339" s="41"/>
      <c r="C339" s="41"/>
      <c r="D339" s="41"/>
      <c r="E339" s="41"/>
      <c r="F339" s="41"/>
      <c r="G339" s="43"/>
      <c r="H339" s="56"/>
      <c r="I339" s="45"/>
      <c r="J339" s="46"/>
      <c r="K339" s="47"/>
      <c r="L339" s="48"/>
      <c r="M339" s="49">
        <v>0</v>
      </c>
      <c r="N339" s="47"/>
      <c r="O339" s="48"/>
      <c r="P339" s="49">
        <v>0</v>
      </c>
      <c r="Q339" s="50"/>
      <c r="R339" s="51" t="e">
        <f t="shared" si="4"/>
        <v>#N/A</v>
      </c>
      <c r="S339" s="52"/>
    </row>
    <row r="340" spans="1:19" x14ac:dyDescent="0.2">
      <c r="A340" s="50">
        <v>332.53135888501703</v>
      </c>
      <c r="B340" s="41"/>
      <c r="C340" s="41"/>
      <c r="D340" s="41"/>
      <c r="E340" s="41"/>
      <c r="F340" s="41"/>
      <c r="G340" s="43"/>
      <c r="H340" s="56"/>
      <c r="I340" s="45"/>
      <c r="J340" s="46"/>
      <c r="K340" s="47"/>
      <c r="L340" s="48"/>
      <c r="M340" s="49">
        <v>0</v>
      </c>
      <c r="N340" s="47"/>
      <c r="O340" s="48"/>
      <c r="P340" s="49">
        <v>0</v>
      </c>
      <c r="Q340" s="50"/>
      <c r="R340" s="51" t="e">
        <f t="shared" si="4"/>
        <v>#N/A</v>
      </c>
      <c r="S340" s="52"/>
    </row>
  </sheetData>
  <mergeCells count="4">
    <mergeCell ref="E8:G8"/>
    <mergeCell ref="E9:G9"/>
    <mergeCell ref="L9:N9"/>
    <mergeCell ref="A11:S11"/>
  </mergeCells>
  <conditionalFormatting sqref="G14:G340">
    <cfRule type="containsText" dxfId="27" priority="1" stopIfTrue="1" operator="containsText" text="CANCELLED">
      <formula>NOT(ISERROR(SEARCH("CANCELLED",G14)))</formula>
    </cfRule>
    <cfRule type="containsText" dxfId="26" priority="2" stopIfTrue="1" operator="containsText" text="COMPLETED">
      <formula>NOT(ISERROR(SEARCH("COMPLETED",G14)))</formula>
    </cfRule>
    <cfRule type="containsText" dxfId="25" priority="3" stopIfTrue="1" operator="containsText" text="PARTIAL">
      <formula>NOT(ISERROR(SEARCH("PARTIAL",G14)))</formula>
    </cfRule>
    <cfRule type="containsText" dxfId="24" priority="4" stopIfTrue="1" operator="containsText" text="PENDING">
      <formula>NOT(ISERROR(SEARCH("PENDING",G14)))</formula>
    </cfRule>
  </conditionalFormatting>
  <dataValidations count="5">
    <dataValidation type="list" errorStyle="warning" allowBlank="1" showInputMessage="1" showErrorMessage="1" errorTitle="ALERT:" error="Please select only valid data" promptTitle="NOTE:" prompt="Select from Drop down Menu" sqref="J14:J340" xr:uid="{D77A0B68-D7EF-3C43-8641-19A9470B3413}">
      <formula1>$Z$1:$Z$8</formula1>
    </dataValidation>
    <dataValidation type="list" errorStyle="warning" allowBlank="1" showInputMessage="1" showErrorMessage="1" errorTitle="ALERT:" error="Please select only valid data" promptTitle="NOTE:" prompt="Select from Drop down Menu" sqref="I14:I340" xr:uid="{89F77DF6-629D-2746-B1FE-B5ED0D38C82D}">
      <formula1>$X$1:$X$6</formula1>
    </dataValidation>
    <dataValidation type="list" errorStyle="warning" allowBlank="1" showInputMessage="1" showErrorMessage="1" errorTitle="ALERT:" error="Please select only valid data" promptTitle="NOTE:" prompt="Select from Drop down Menu" sqref="D14:D340" xr:uid="{163E3A2A-05E5-2F4E-859E-1F9BFCE70FBE}">
      <formula1>$W$1:$W$7</formula1>
    </dataValidation>
    <dataValidation type="list" errorStyle="warning" allowBlank="1" showInputMessage="1" showErrorMessage="1" errorTitle="ALERT:" error="Please select only valid data" promptTitle="NOTE:" prompt="Select from Drop down Menu" sqref="Q14:Q340" xr:uid="{57DE1A60-03D1-4F41-9F6D-154957AF2A84}">
      <formula1>$AC$1:$AC$13</formula1>
    </dataValidation>
    <dataValidation type="list" errorStyle="warning" allowBlank="1" showInputMessage="1" showErrorMessage="1" errorTitle="ALERT:" error="Please select only valid data" promptTitle="NOTE:" prompt="Select from Drop down Menu" sqref="B14:C340" xr:uid="{1F50B5AE-C933-CD4C-867E-868127099EFA}">
      <formula1>$AE$1:$AE$3</formula1>
    </dataValidation>
  </dataValidations>
  <hyperlinks>
    <hyperlink ref="E14" location="'100'!A1" display="'100'!A1" xr:uid="{859A62DA-DFC6-6141-ACB2-FFC1956D89AD}"/>
    <hyperlink ref="E15" location="'110'!A1" display="'110'!A1" xr:uid="{A954DDF6-557E-084C-B051-BB084C63DF4D}"/>
    <hyperlink ref="E16" location="'120'!A1" display="'120'!A1" xr:uid="{1D92FAAC-2031-524E-9DD3-80730FA3BFE4}"/>
    <hyperlink ref="E17" location="'200'!A1" display="'200'!A1" xr:uid="{3A605493-CA26-2C44-A637-E53BFAFF95BC}"/>
    <hyperlink ref="E18" location="'210'!A1" display="'210'!A1" xr:uid="{A611DF2A-61CF-9249-BFEE-D64988C253DF}"/>
    <hyperlink ref="E19" location="'220'!A1" display="'220'!A1" xr:uid="{21403626-C4D1-7443-8C93-67550454DF09}"/>
    <hyperlink ref="E20" location="'405'!A1" display="'405'!A1" xr:uid="{653D871E-5E36-F043-B088-B19ECBC2733C}"/>
    <hyperlink ref="E21" location="'406'!A1" display="'406'!A1" xr:uid="{5AFF83F6-C6AA-4543-8229-C7CE346553CF}"/>
    <hyperlink ref="E22" location="'411'!A1" display="'411'!A1" xr:uid="{709214D8-94BF-0846-B4D2-424011D89A5E}"/>
    <hyperlink ref="E23" location="'415'!A1" display="'415'!A1" xr:uid="{1E3004FD-CB84-134B-84AC-44B045858E83}"/>
    <hyperlink ref="E24" location="'416'!A1" display="'416'!A1" xr:uid="{163F835D-CBB8-2144-A51B-29DDD39D7F95}"/>
    <hyperlink ref="E25" location="'420'!A1" display="'420'!A1" xr:uid="{E7FDF674-90D4-BF40-AA70-5B158F537196}"/>
    <hyperlink ref="E26" location="'425'!A1" display="'425'!A1" xr:uid="{B48510FA-6872-8345-9FE0-54FD38EEB94B}"/>
    <hyperlink ref="E27" location="'435'!A1" display="'435'!A1" xr:uid="{46B6B770-D5ED-7044-B08C-18C6977BCC2E}"/>
    <hyperlink ref="E28" location="'436'!A1" display="'436'!A1" xr:uid="{7912860E-5A3D-1642-90CD-B1C908503510}"/>
    <hyperlink ref="E30" location="'445'!A1" display="'445'!A1" xr:uid="{EAB7DADF-9202-C549-8875-01643B7217BE}"/>
    <hyperlink ref="E31" location="'450'!A1" display="'450'!A1" xr:uid="{EA0BD9E4-C206-CC45-ADB9-438B96243323}"/>
    <hyperlink ref="E32" location="'505'!A1" display="'505'!A1" xr:uid="{AE4556E3-70C6-454E-A6DA-5A0A0FBF5E3F}"/>
    <hyperlink ref="E33" location="'575 (1)'!A1" display="575 (1)" xr:uid="{4721FEAC-898E-5A4E-BC98-1A75D1B6D1F3}"/>
    <hyperlink ref="E34" location="'575 (2)'!A1" display="575 (2)" xr:uid="{6A3FE42D-97B4-E54B-A1E9-012A95367065}"/>
    <hyperlink ref="E29" location="'440'!A1" display="'440'!A1" xr:uid="{B7D6DE79-7AE6-0B49-A377-6ED8FABEB765}"/>
    <hyperlink ref="E143" location="'775'!A1" display="'775'!A1" xr:uid="{8C1FC391-CCB1-1048-906B-340EF9DF403B}"/>
    <hyperlink ref="E35" location="'605'!A1" display="'605'!A1" xr:uid="{A4495504-D391-A346-B38F-8CCF25CF4337}"/>
    <hyperlink ref="E37" location="'615 (1)'!A1" display="'615 (1)'!A1" xr:uid="{8C7D68D6-9168-B44C-A48A-3870A4FD400C}"/>
    <hyperlink ref="E38" location="'615 (2)'!A1" display="615 (2)" xr:uid="{A6F6E62C-6D35-C54B-A45A-F86105C2E25A}"/>
    <hyperlink ref="E39" location="'615 (3)'!A1" display="615 (3)" xr:uid="{8960CD9B-49BF-E248-A6E0-D6C8201EF7D0}"/>
    <hyperlink ref="E40" location="'615 (4)'!A1" display="615 (4)" xr:uid="{9EC04025-58DF-F846-9EC7-E9AAEF042983}"/>
    <hyperlink ref="E41" location="'615 (5)'!A1" display="615 (5)" xr:uid="{79BD058E-ADC9-C34E-B9B2-367261248633}"/>
    <hyperlink ref="E42" location="'630 (1)'!A1" display="630 (1)" xr:uid="{BA30BBBC-333C-DB4E-99FA-8609F032CB13}"/>
    <hyperlink ref="E43" location="'630 (2)'!A1" display="630 (2)" xr:uid="{E156FC0A-AD06-434C-866E-3392A69777B4}"/>
    <hyperlink ref="E44" location="'630 (3)'!A1" display="630 (3)" xr:uid="{CF3831ED-A608-8544-B089-DE28D2C08D07}"/>
    <hyperlink ref="E45" location="'630 (4)'!A1" display="630 (4)" xr:uid="{35521BD4-F493-304E-8285-CB9F71913D83}"/>
    <hyperlink ref="E52" location="'650'!A1" display="'650'!A1" xr:uid="{053B9DD1-911A-7F4F-BCE0-FE85058F95E4}"/>
    <hyperlink ref="E131" location="'705'!A1" display="'705'!A1" xr:uid="{0B1A43A7-013B-B940-899D-709C53006B4D}"/>
    <hyperlink ref="E132" location="'710 (1)'!A1" display="710 (1)" xr:uid="{DC0A08A8-8558-E54A-9C47-5C0042920294}"/>
    <hyperlink ref="E133" location="'710 (2)'!A1" display="710 (2)" xr:uid="{81A97E43-D099-BC4D-8143-288BDAC982C4}"/>
    <hyperlink ref="E134" location="'710 (3)'!A1" display="710 (3)" xr:uid="{79B0F88D-BDC7-904A-AB5C-0E62667DD9C0}"/>
    <hyperlink ref="E135" location="'710 (4)'!A1" display="710 (4)" xr:uid="{FAD76EC8-A858-7B42-A9DF-F7574A15D67F}"/>
    <hyperlink ref="E136" location="'713'!A1" display="'713'!A1" xr:uid="{A3AEFD42-C94E-1C4D-A091-30881959FB97}"/>
    <hyperlink ref="E137" location="'714'!A1" display="'714'!A1" xr:uid="{A6B30043-4967-714C-A2EF-089B452D82D3}"/>
    <hyperlink ref="E138" location="'715'!A1" display="'715'!A1" xr:uid="{7B8AAF9A-C603-FE48-88FB-28AA8F7B0963}"/>
    <hyperlink ref="E142" location="'725'!A1" display="'725'!A1" xr:uid="{6ED2E2CA-9B94-3E4C-BADE-8EB19A0E3E36}"/>
    <hyperlink ref="E141" location="'720'!A54" display="'720'!A54" xr:uid="{65A0A8A1-8CD1-3B49-BB5D-6D81BDB5568A}"/>
    <hyperlink ref="E139" location="'720'!A1" display="'720'!A1" xr:uid="{9B52351A-4B71-7042-8F56-41E65A051444}"/>
    <hyperlink ref="E140" location="'720'!A50" display="'720'!A50" xr:uid="{6234385A-5606-7D48-8D95-6CDB7CE826F3}"/>
    <hyperlink ref="E144" location="'780 (1)'!A1" display="780 (1)" xr:uid="{0047A719-9DD0-4E49-806C-BB6545C4449D}"/>
    <hyperlink ref="E145" location="'780 (2)'!A1" display="780 (2)" xr:uid="{7BF024D0-AFFF-0441-94C3-422541DF6E00}"/>
    <hyperlink ref="E168" location="'810'!A1" display="'810'!A1" xr:uid="{DE161BEB-FA1F-8D45-BC4D-9F5621237A01}"/>
    <hyperlink ref="E169" location="'815'!A1" display="'815'!A1" xr:uid="{C6290CC6-FD66-E748-876E-9A48E56B1CBD}"/>
    <hyperlink ref="E170" location="'815'!A1" display="'815'!A1" xr:uid="{591B8F7B-E3A6-ED49-A9B7-42ED3999D0BE}"/>
    <hyperlink ref="E171" location="'816'!A1" display="'816'!A1" xr:uid="{B8A7A7ED-1A94-C140-AB33-2A78C7AAA153}"/>
    <hyperlink ref="E173" location="'818'!A1" display="'818'!A1" xr:uid="{1622424E-026D-1F46-B5EA-41C7DEDC1CA6}"/>
    <hyperlink ref="E172" location="'817'!A1" display="'817'!A1" xr:uid="{8DA6AAA6-6BD4-BB46-B6E1-8A31D776FF62}"/>
    <hyperlink ref="E36" location="'610'!A1" display="'610'!A1" xr:uid="{0063A6CA-F556-C041-BBF3-EA0A859B3E57}"/>
    <hyperlink ref="E147" location="PIPE!A1" display="MOTOR" xr:uid="{D3758E84-5316-384D-AA97-F2066C179F56}"/>
    <hyperlink ref="E176" location="'MOTOR 1'!A1" display="MOTOR 1" xr:uid="{B9C7FBF9-22DA-C144-AD32-C04220AFDAFE}"/>
    <hyperlink ref="E146" location="HEATEX1!A1" display="HEATEX1" xr:uid="{26CB78C4-A67A-1F4B-964F-4770A8EB9A15}"/>
    <hyperlink ref="E65" location="'660'!A1" display="'660'!A1" xr:uid="{484BC199-ECC8-B04E-A1A9-E7F091B1AA45}"/>
    <hyperlink ref="E177:E200" location="'MOTOR 1'!A1" display="MOTOR 1" xr:uid="{EC5A011A-3014-F144-9279-147E1730275A}"/>
    <hyperlink ref="E177" location="'MOTOR 2'!A1" display="MOTOR 2" xr:uid="{AA34654E-BF34-8545-B992-962C950BF1DD}"/>
    <hyperlink ref="E178" location="'MOTOR 3'!A1" display="MOTOR 3" xr:uid="{8DAD7A1E-E9D4-D841-8108-BB2662D7F85D}"/>
    <hyperlink ref="E179" location="'MOTOR 4'!A1" display="MOTOR 4" xr:uid="{89E7CF41-5521-F24C-9AAC-693ADFD7BA2F}"/>
    <hyperlink ref="E180" location="'MOTOR 5'!A1" display="MOTOR 5" xr:uid="{EB24F38B-248B-9941-A370-D8DDEE6E0BD3}"/>
    <hyperlink ref="E181" location="'MOTOR 6'!A1" display="MOTOR 6" xr:uid="{97480E2D-9A48-9C4A-BE43-9D8F808AD66D}"/>
    <hyperlink ref="E182" location="'MOTOR 7'!A1" display="MOTOR 7" xr:uid="{FFD9A66A-1A19-374C-A461-CC9F969F8C00}"/>
    <hyperlink ref="E183" location="'MOTOR 8'!A1" display="MOTOR 8" xr:uid="{63FB1AF5-4A66-084E-AE38-621A924D52A6}"/>
    <hyperlink ref="E184" location="'MOTOR 9'!A1" display="MOTOR 9" xr:uid="{F8F77790-AC71-B148-AED5-4D54CEE8B079}"/>
    <hyperlink ref="E185" location="'MOTOR 10'!A1" display="MOTOR 10" xr:uid="{BAC9D632-D141-2A47-8799-878F68518915}"/>
    <hyperlink ref="E186" location="'MOTOR 11'!A1" display="MOTOR 11" xr:uid="{2ACCE6D1-081F-5C46-A790-FDAC316A5892}"/>
    <hyperlink ref="E187" location="'MOTOR 12'!A1" display="MOTOR 12" xr:uid="{E079E463-1187-C04E-AE20-2C4DC64C599B}"/>
    <hyperlink ref="E188" location="'MOTOR 13'!A1" display="MOTOR 13" xr:uid="{F1E79DF3-D226-4F46-A708-A19FB0C65385}"/>
    <hyperlink ref="E189" location="'MOTOR 14'!A1" display="MOTOR 14" xr:uid="{F807DAFD-3E2C-C24F-B761-0B4D965E8124}"/>
    <hyperlink ref="E190" location="'MOTOR 15'!A1" display="MOTOR 15" xr:uid="{6E576A30-79C6-774A-8167-F175E4A31ACD}"/>
    <hyperlink ref="E201:E214" location="'MOTOR 1'!A1" display="MOTOR 1" xr:uid="{F41E3010-867C-7E48-8E9F-3B18BF3B32C0}"/>
    <hyperlink ref="E215" location="'MOTOR 40'!A1" display="MOTOR 40" xr:uid="{9DE4A348-32F5-1143-B153-2E8A76C2EA0F}"/>
    <hyperlink ref="E214" location="'MOTOR 39'!A1" display="MOTOR 39" xr:uid="{67B58BF1-013F-BC45-800C-E2CF78C33839}"/>
    <hyperlink ref="E213" location="'MOTOR 38'!A1" display="MOTOR 38" xr:uid="{6CE56809-4FA7-6148-8687-2A68AC9369B1}"/>
    <hyperlink ref="E212" location="'MOTOR 37'!A1" display="MOTOR 37" xr:uid="{73E37706-AE0D-E14E-A4BB-5FBDF87C8376}"/>
    <hyperlink ref="E211" location="'MOTOR 36'!A1" display="MOTOR 36" xr:uid="{601AA719-2540-8141-8D42-F354A9070315}"/>
    <hyperlink ref="E210" location="'MOTOR 35'!A1" display="MOTOR 35" xr:uid="{929A5150-F956-C543-A785-E08369A9FAEC}"/>
    <hyperlink ref="E209" location="'MOTOR 34'!A1" display="MOTOR 34" xr:uid="{D4199E6A-CA87-1645-BF32-3A0905F22DB6}"/>
    <hyperlink ref="E208" location="'MOTOR 33'!A1" display="MOTOR 33" xr:uid="{533F9522-87E5-9C47-80D9-026625FF7FFE}"/>
    <hyperlink ref="E207" location="'MOTOR 32'!A1" display="MOTOR 32" xr:uid="{195DEE16-8D93-2F42-8429-C2D486AFC5B3}"/>
    <hyperlink ref="E206" location="'MOTOR 31'!A1" display="MOTOR 31" xr:uid="{FB7A93FC-37B0-3540-A5D2-4400ABFB4C43}"/>
    <hyperlink ref="E205" location="'MOTOR 30'!A1" display="MOTOR 30" xr:uid="{AF0C1EAD-9544-E149-AB0B-D0E9ABA68EDF}"/>
    <hyperlink ref="E204" location="'MOTOR 29'!A1" display="MOTOR 29" xr:uid="{5D8B356C-7E78-BF48-924B-FD6F72A70555}"/>
    <hyperlink ref="E203" location="'MOTOR 28'!A1" display="MOTOR 28" xr:uid="{BCA7374C-E27C-3D4F-8B62-FA2A8378F2C1}"/>
    <hyperlink ref="E202" location="'MOTOR 27'!A1" display="MOTOR 27" xr:uid="{2AF6EDB8-2694-284B-A536-11865E0535A7}"/>
    <hyperlink ref="E201" location="'MOTOR 26'!A1" display="MOTOR 26" xr:uid="{F15AA5BC-C313-F945-ABDA-8CDA9408CC41}"/>
    <hyperlink ref="E200" location="'MOTOR 25'!A1" display="MOTOR 25" xr:uid="{2FC53C09-DA68-6346-80E5-16CCB905A613}"/>
    <hyperlink ref="E199" location="'MOTOR 24'!A1" display="MOTOR 24" xr:uid="{939EF290-60F1-4247-ADB6-E8913BED04CD}"/>
    <hyperlink ref="E198" location="'MOTOR 23'!A1" display="MOTOR 23" xr:uid="{8D64A7A0-69B4-7846-A8B0-4702C9378204}"/>
    <hyperlink ref="E197" location="'MOTOR 22'!A1" display="MOTOR 22" xr:uid="{C608F957-CD23-0B48-9BEC-1C9EE2D7C0C9}"/>
    <hyperlink ref="E196" location="'MOTOR 21'!A1" display="MOTOR 21" xr:uid="{0C6A3EDD-8905-0147-8721-988830318F57}"/>
    <hyperlink ref="E195" location="'MOTOR 20'!A1" display="MOTOR 20" xr:uid="{D145F312-C99F-A140-A775-FB117EE925BE}"/>
    <hyperlink ref="E194" location="'MOTOR 19'!A1" display="MOTOR 19" xr:uid="{CD043714-642D-D349-8BB3-D46C87AE9D18}"/>
    <hyperlink ref="E193" location="'MOTOR 18'!A1" display="MOTOR 18" xr:uid="{C54122B5-75AE-0D47-83D9-50AC169AA20B}"/>
    <hyperlink ref="E192" location="'MOTOR 17'!A1" display="MOTOR 17" xr:uid="{445FC4A3-4C5A-E14F-A41C-211AAA00F5B5}"/>
    <hyperlink ref="E191" location="'MOTOR 16'!A1" display="MOTOR 16" xr:uid="{E40A3C2D-1FF6-AC47-BBA5-DC7DC64BB7A1}"/>
    <hyperlink ref="E46" location="'640 (1)'!A1" display="640 (1)" xr:uid="{710F28F4-1560-3343-AEDD-B3DC38750309}"/>
    <hyperlink ref="E47" location="'640 (2)'!A1" display="640 (2)" xr:uid="{1DD6582B-C83D-454C-8A10-866BF74BCF74}"/>
    <hyperlink ref="E48" location="'640 (3)'!A1" display="640 (3)" xr:uid="{7991A951-79B6-EF41-B3F4-12D87858029D}"/>
    <hyperlink ref="E49" location="'640 (4)'!A1" display="640 (4)" xr:uid="{2EFACECA-1A91-5F40-9C4D-7BFC771D1B42}"/>
    <hyperlink ref="E50" location="'645 (1)'!A1" display="645 (1)" xr:uid="{E4B2366F-89B2-5E46-9019-F09B943FDAA9}"/>
    <hyperlink ref="E51" location="'645 (2)'!A1" display="645 (2)" xr:uid="{C36F0005-B689-5E40-A31C-50585B9E8554}"/>
  </hyperlink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Debdeepto Chattopadhyay</dc:creator>
  <cp:lastModifiedBy>Debdeepto Chattopadhyay</cp:lastModifiedBy>
  <dcterms:created xsi:type="dcterms:W3CDTF">2026-05-21T13:45:29Z</dcterms:created>
  <dcterms:modified xsi:type="dcterms:W3CDTF">2026-05-21T13:48:32Z</dcterms:modified>
</cp:coreProperties>
</file>